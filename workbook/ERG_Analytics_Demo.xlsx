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9.xml.rels" ContentType="application/vnd.openxmlformats-package.relationships+xml"/>
  <Override PartName="/xl/worksheets/_rels/sheet8.xml.rels" ContentType="application/vnd.openxmlformats-package.relationships+xml"/>
  <Override PartName="/xl/worksheets/_rels/sheet7.xml.rels" ContentType="application/vnd.openxmlformats-package.relationships+xml"/>
  <Override PartName="/xl/worksheets/_rels/sheet6.xml.rels" ContentType="application/vnd.openxmlformats-package.relationships+xml"/>
  <Override PartName="/xl/worksheets/_rels/sheet5.xml.rels" ContentType="application/vnd.openxmlformats-package.relationship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tables/table4.xml" ContentType="application/vnd.openxmlformats-officedocument.spreadsheetml.table+xml"/>
  <Override PartName="/xl/tables/table2.xml" ContentType="application/vnd.openxmlformats-officedocument.spreadsheetml.table+xml"/>
  <Override PartName="/xl/tables/table7.xml" ContentType="application/vnd.openxmlformats-officedocument.spreadsheetml.table+xml"/>
  <Override PartName="/xl/tables/table3.xml" ContentType="application/vnd.openxmlformats-officedocument.spreadsheetml.table+xml"/>
  <Override PartName="/xl/tables/table6.xml" ContentType="application/vnd.openxmlformats-officedocument.spreadsheetml.table+xml"/>
  <Override PartName="/xl/tables/table5.xml" ContentType="application/vnd.openxmlformats-officedocument.spreadsheetml.table+xml"/>
  <Override PartName="/xl/tables/table1.xml" ContentType="application/vnd.openxmlformats-officedocument.spreadsheetml.table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README" sheetId="1" state="visible" r:id="rId3"/>
    <sheet name="Dashboard" sheetId="2" state="visible" r:id="rId4"/>
    <sheet name="ERGs" sheetId="3" state="visible" r:id="rId5"/>
    <sheet name="Employees" sheetId="4" state="visible" r:id="rId6"/>
    <sheet name="Teams_Membership_Export" sheetId="5" state="visible" r:id="rId7"/>
    <sheet name="ERG_Membership_Changes" sheetId="6" state="visible" r:id="rId8"/>
    <sheet name="Forms_Event_Registrations" sheetId="7" state="visible" r:id="rId9"/>
    <sheet name="ERG_Events" sheetId="8" state="visible" r:id="rId10"/>
    <sheet name="ERG_Budget" sheetId="9" state="visible" r:id="rId11"/>
    <sheet name="Calc" sheetId="10" state="visible" r:id="rId1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<sst xmlns="http://schemas.openxmlformats.org/spreadsheetml/2006/main" count="1565" uniqueCount="320">
  <si>
    <t xml:space="preserve">ERG Analytics — Demo Workbook</t>
  </si>
  <si>
    <t xml:space="preserve">Purpose</t>
  </si>
  <si>
    <t xml:space="preserve">Chezie-style ERG visibility for organizations without a dedicated ERG platform: who the ERGs are, participation, spend, event turnout, and membership movement, built from exports you already have.</t>
  </si>
  <si>
    <t xml:space="preserve">Assumptions baked in</t>
  </si>
  <si>
    <t xml:space="preserve">ERGs are modeled as Teams channels/teams (membership from a Teams export) and event registration via Microsoft Forms. Budget has no confirmed source system yet, so it's a manual-entry tab.</t>
  </si>
  <si>
    <t xml:space="preserve">Why Event_ID exists on the Forms tab</t>
  </si>
  <si>
    <t xml:space="preserve">Event names repeat — a recurring Speaker Series or Panel Discussion can happen more than once for the same ERG — so Event_Name alone can't uniquely identify which occurrence a registration belongs to. Whoever compiles each month's Forms export needs to tag the Event_ID (from ERG_Events) onto that batch of responses before pasting it in.</t>
  </si>
  <si>
    <t xml:space="preserve">How to refresh membership</t>
  </si>
  <si>
    <t xml:space="preserve">Pull a Teams membership export monthly, add a Snapshot_Date column if your export doesn't include one, and append the rows to Teams_Membership_Export. Never delete prior snapshots — the trend and Membership_Changes tabs depend on having history.</t>
  </si>
  <si>
    <t xml:space="preserve">How to refresh events</t>
  </si>
  <si>
    <t xml:space="preserve">Each event's Microsoft Forms responses export with ID, Start time, Completion time, Email, and Name built in. Add Event_ID and Event_Name columns matching ERG_Events, then paste the rows into Forms_Event_Registrations.</t>
  </si>
  <si>
    <t xml:space="preserve">Editable vs calculated</t>
  </si>
  <si>
    <t xml:space="preserve">Grey column headers are formulas — don't type into them. Teal headers are raw export tabs (paste directly from source).</t>
  </si>
  <si>
    <t xml:space="preserve">Source-system field mapping</t>
  </si>
  <si>
    <t xml:space="preserve">Workbook field</t>
  </si>
  <si>
    <t xml:space="preserve">Source  →  detail</t>
  </si>
  <si>
    <t xml:space="preserve">Teams_Membership_Export (all columns)</t>
  </si>
  <si>
    <t xml:space="preserve">Teams admin center / Get-TeamUser  →  Team members list export</t>
  </si>
  <si>
    <t xml:space="preserve">ERG_Membership_Changes</t>
  </si>
  <si>
    <t xml:space="preserve">Derived  →  Diff of consecutive Teams snapshots — not a direct export</t>
  </si>
  <si>
    <t xml:space="preserve">Forms_Event_Registrations (ID – Name)</t>
  </si>
  <si>
    <t xml:space="preserve">Microsoft Forms  →  Auto-included columns on every Forms export</t>
  </si>
  <si>
    <t xml:space="preserve">Forms_Event_Registrations.Event_ID</t>
  </si>
  <si>
    <t xml:space="preserve">Manual (analyst-tagged)  →  Not in the raw Forms export — added when compiling, to disambiguate repeat event names</t>
  </si>
  <si>
    <t xml:space="preserve">Employees</t>
  </si>
  <si>
    <t xml:space="preserve">Workday  →  Worker report export</t>
  </si>
  <si>
    <t xml:space="preserve">ERG_Budget</t>
  </si>
  <si>
    <t xml:space="preserve">Manual / Finance  →  No confirmed system source yet</t>
  </si>
  <si>
    <t xml:space="preserve">ERG_Events</t>
  </si>
  <si>
    <t xml:space="preserve">Manual  →  ERG leads log events; registrations roll up from Forms by Event_ID</t>
  </si>
  <si>
    <t xml:space="preserve">ERG Analytics  |  Membership, Spend &amp; Engagement</t>
  </si>
  <si>
    <t xml:space="preserve">Employee Resource Groups dashboard  •  Sources: Teams (membership) + MS Forms (events) + Workday (headcount)</t>
  </si>
  <si>
    <t xml:space="preserve">ERG Directory  —  Q1: What are the ERGs?</t>
  </si>
  <si>
    <t xml:space="preserve">Participation  —  Q3: What share of staff belong to an ERG?</t>
  </si>
  <si>
    <t xml:space="preserve">Active Headcount</t>
  </si>
  <si>
    <t xml:space="preserve">Staff in ≥1 ERG</t>
  </si>
  <si>
    <t xml:space="preserve">Staff Unaffiliated</t>
  </si>
  <si>
    <t xml:space="preserve">Participation Rate</t>
  </si>
  <si>
    <t xml:space="preserve">Spend  —  Q2: What is each ERG spending?</t>
  </si>
  <si>
    <t xml:space="preserve">Total Budgeted (FY26)</t>
  </si>
  <si>
    <t xml:space="preserve">Total Actual Spend</t>
  </si>
  <si>
    <t xml:space="preserve">Budget Utilized</t>
  </si>
  <si>
    <t xml:space="preserve">ERGs Over Budget</t>
  </si>
  <si>
    <t xml:space="preserve">Event Management  —  Q4: cadence, turnout, cost</t>
  </si>
  <si>
    <t xml:space="preserve">Events (last 6 mo)</t>
  </si>
  <si>
    <t xml:space="preserve">Total Registrations</t>
  </si>
  <si>
    <t xml:space="preserve">Avg Registrations/Event</t>
  </si>
  <si>
    <t xml:space="preserve">Total Event Cost</t>
  </si>
  <si>
    <t xml:space="preserve">Membership Movement  —  Q5: joins &amp; leaves over time</t>
  </si>
  <si>
    <t xml:space="preserve">Joins (6 mo)</t>
  </si>
  <si>
    <t xml:space="preserve">Leaves (6 mo)</t>
  </si>
  <si>
    <t xml:space="preserve">Net Change (6 mo)</t>
  </si>
  <si>
    <t xml:space="preserve">ERGs Tracked</t>
  </si>
  <si>
    <t xml:space="preserve">ERG_ID</t>
  </si>
  <si>
    <t xml:space="preserve">ERG_Name</t>
  </si>
  <si>
    <t xml:space="preserve">Teams_Team_Name</t>
  </si>
  <si>
    <t xml:space="preserve">Channel</t>
  </si>
  <si>
    <t xml:space="preserve">GroupId</t>
  </si>
  <si>
    <t xml:space="preserve">Sponsor</t>
  </si>
  <si>
    <t xml:space="preserve">Category</t>
  </si>
  <si>
    <t xml:space="preserve">Founded_Date</t>
  </si>
  <si>
    <t xml:space="preserve">Status</t>
  </si>
  <si>
    <t xml:space="preserve">Current_Members</t>
  </si>
  <si>
    <t xml:space="preserve">ERG-01</t>
  </si>
  <si>
    <t xml:space="preserve">Women's Network</t>
  </si>
  <si>
    <t xml:space="preserve">ERGs - Women's Network</t>
  </si>
  <si>
    <t xml:space="preserve">General</t>
  </si>
  <si>
    <t xml:space="preserve">8f2a1c40-...-b291</t>
  </si>
  <si>
    <t xml:space="preserve">Finance Director</t>
  </si>
  <si>
    <t xml:space="preserve">Gender &amp; Identity</t>
  </si>
  <si>
    <t xml:space="preserve">Active</t>
  </si>
  <si>
    <t xml:space="preserve">ERG-02</t>
  </si>
  <si>
    <t xml:space="preserve">Pride Alliance</t>
  </si>
  <si>
    <t xml:space="preserve">ERGs - Pride Alliance</t>
  </si>
  <si>
    <t xml:space="preserve">3d7e9f12-...-a604</t>
  </si>
  <si>
    <t xml:space="preserve">Communications Manager</t>
  </si>
  <si>
    <t xml:space="preserve">LGBTQ+</t>
  </si>
  <si>
    <t xml:space="preserve">ERG-03</t>
  </si>
  <si>
    <t xml:space="preserve">Black &amp; African Diaspora Network</t>
  </si>
  <si>
    <t xml:space="preserve">ERGs - Black &amp; African Diaspora</t>
  </si>
  <si>
    <t xml:space="preserve">c9b45a88-...-e173</t>
  </si>
  <si>
    <t xml:space="preserve">Development Director</t>
  </si>
  <si>
    <t xml:space="preserve">Race &amp; Ethnicity</t>
  </si>
  <si>
    <t xml:space="preserve">ERG-04</t>
  </si>
  <si>
    <t xml:space="preserve">Emerging Professionals Network</t>
  </si>
  <si>
    <t xml:space="preserve">ERGs - Emerging Professionals</t>
  </si>
  <si>
    <t xml:space="preserve">15f6d2e0-...-c908</t>
  </si>
  <si>
    <t xml:space="preserve">Operations Manager</t>
  </si>
  <si>
    <t xml:space="preserve">Career Stage</t>
  </si>
  <si>
    <t xml:space="preserve">ERG-05</t>
  </si>
  <si>
    <t xml:space="preserve">Accessibility &amp; Disability Inclusion Network</t>
  </si>
  <si>
    <t xml:space="preserve">ERGs - Accessibility &amp; Disability</t>
  </si>
  <si>
    <t xml:space="preserve">a027b8c1-...-f455</t>
  </si>
  <si>
    <t xml:space="preserve">HR Business Partner</t>
  </si>
  <si>
    <t xml:space="preserve">Disability &amp; Accessibility</t>
  </si>
  <si>
    <t xml:space="preserve">ERG-06</t>
  </si>
  <si>
    <t xml:space="preserve">Global &amp; Multicultural Network</t>
  </si>
  <si>
    <t xml:space="preserve">ERGs - Global &amp; Multicultural</t>
  </si>
  <si>
    <t xml:space="preserve">e6119d3a-...-0d82</t>
  </si>
  <si>
    <t xml:space="preserve">IT Manager</t>
  </si>
  <si>
    <t xml:space="preserve">Culture &amp; Nationality</t>
  </si>
  <si>
    <t xml:space="preserve">Worker_ID</t>
  </si>
  <si>
    <t xml:space="preserve">Legal_Name</t>
  </si>
  <si>
    <t xml:space="preserve">Business_Title</t>
  </si>
  <si>
    <t xml:space="preserve">Supervisory_Organization</t>
  </si>
  <si>
    <t xml:space="preserve">Email_Address</t>
  </si>
  <si>
    <t xml:space="preserve">Hire_Date</t>
  </si>
  <si>
    <t xml:space="preserve">Termination_Date</t>
  </si>
  <si>
    <t xml:space="preserve">Worker_Status</t>
  </si>
  <si>
    <t xml:space="preserve">WD-1001</t>
  </si>
  <si>
    <t xml:space="preserve">Amara Adeyemi</t>
  </si>
  <si>
    <t xml:space="preserve">Conservation Director</t>
  </si>
  <si>
    <t xml:space="preserve">Conservation Programs</t>
  </si>
  <si>
    <t xml:space="preserve">amara.adeyemi@ngo-example.org</t>
  </si>
  <si>
    <t xml:space="preserve">WD-1002</t>
  </si>
  <si>
    <t xml:space="preserve">Ben Baptiste</t>
  </si>
  <si>
    <t xml:space="preserve">Programme Manager</t>
  </si>
  <si>
    <t xml:space="preserve">ben.baptiste@ngo-example.org</t>
  </si>
  <si>
    <t xml:space="preserve">WD-1003</t>
  </si>
  <si>
    <t xml:space="preserve">Chloe Chen</t>
  </si>
  <si>
    <t xml:space="preserve">Senior Field Officer</t>
  </si>
  <si>
    <t xml:space="preserve">chloe.chen@ngo-example.org</t>
  </si>
  <si>
    <t xml:space="preserve">Terminated</t>
  </si>
  <si>
    <t xml:space="preserve">WD-1004</t>
  </si>
  <si>
    <t xml:space="preserve">Daniel Duarte</t>
  </si>
  <si>
    <t xml:space="preserve">Field Officer</t>
  </si>
  <si>
    <t xml:space="preserve">daniel.duarte@ngo-example.org</t>
  </si>
  <si>
    <t xml:space="preserve">WD-1005</t>
  </si>
  <si>
    <t xml:space="preserve">Esi Eze</t>
  </si>
  <si>
    <t xml:space="preserve">GIS Specialist</t>
  </si>
  <si>
    <t xml:space="preserve">esi.eze@ngo-example.org</t>
  </si>
  <si>
    <t xml:space="preserve">WD-1006</t>
  </si>
  <si>
    <t xml:space="preserve">Farah Fischer</t>
  </si>
  <si>
    <t xml:space="preserve">M&amp;E Officer</t>
  </si>
  <si>
    <t xml:space="preserve">farah.fischer@ngo-example.org</t>
  </si>
  <si>
    <t xml:space="preserve">WD-1007</t>
  </si>
  <si>
    <t xml:space="preserve">Grace Gomez</t>
  </si>
  <si>
    <t xml:space="preserve">Fundraising &amp; Development</t>
  </si>
  <si>
    <t xml:space="preserve">grace.gomez@ngo-example.org</t>
  </si>
  <si>
    <t xml:space="preserve">WD-1008</t>
  </si>
  <si>
    <t xml:space="preserve">Hassan Haddad</t>
  </si>
  <si>
    <t xml:space="preserve">Major Gifts Officer</t>
  </si>
  <si>
    <t xml:space="preserve">hassan.haddad@ngo-example.org</t>
  </si>
  <si>
    <t xml:space="preserve">WD-1009</t>
  </si>
  <si>
    <t xml:space="preserve">Ingrid Ibrahim</t>
  </si>
  <si>
    <t xml:space="preserve">Grants Manager</t>
  </si>
  <si>
    <t xml:space="preserve">ingrid.ibrahim@ngo-example.org</t>
  </si>
  <si>
    <t xml:space="preserve">WD-1010</t>
  </si>
  <si>
    <t xml:space="preserve">Jamal Jensen</t>
  </si>
  <si>
    <t xml:space="preserve">Fundraising Coordinator</t>
  </si>
  <si>
    <t xml:space="preserve">jamal.jensen@ngo-example.org</t>
  </si>
  <si>
    <t xml:space="preserve">WD-1011</t>
  </si>
  <si>
    <t xml:space="preserve">Kira Kamau</t>
  </si>
  <si>
    <t xml:space="preserve">Marketing &amp; Communications</t>
  </si>
  <si>
    <t xml:space="preserve">kira.kamau@ngo-example.org</t>
  </si>
  <si>
    <t xml:space="preserve">WD-1012</t>
  </si>
  <si>
    <t xml:space="preserve">Liam Lopez</t>
  </si>
  <si>
    <t xml:space="preserve">Digital Marketing Officer</t>
  </si>
  <si>
    <t xml:space="preserve">liam.lopez@ngo-example.org</t>
  </si>
  <si>
    <t xml:space="preserve">WD-1013</t>
  </si>
  <si>
    <t xml:space="preserve">Maya Mbeki</t>
  </si>
  <si>
    <t xml:space="preserve">Content Officer</t>
  </si>
  <si>
    <t xml:space="preserve">maya.mbeki@ngo-example.org</t>
  </si>
  <si>
    <t xml:space="preserve">WD-1014</t>
  </si>
  <si>
    <t xml:space="preserve">Noah Novak</t>
  </si>
  <si>
    <t xml:space="preserve">Finance &amp; Operations</t>
  </si>
  <si>
    <t xml:space="preserve">noah.novak@ngo-example.org</t>
  </si>
  <si>
    <t xml:space="preserve">WD-1015</t>
  </si>
  <si>
    <t xml:space="preserve">Olu Okafor</t>
  </si>
  <si>
    <t xml:space="preserve">Finance Officer</t>
  </si>
  <si>
    <t xml:space="preserve">olu.okafor@ngo-example.org</t>
  </si>
  <si>
    <t xml:space="preserve">WD-1016</t>
  </si>
  <si>
    <t xml:space="preserve">Priya Patel</t>
  </si>
  <si>
    <t xml:space="preserve">priya.patel@ngo-example.org</t>
  </si>
  <si>
    <t xml:space="preserve">WD-1017</t>
  </si>
  <si>
    <t xml:space="preserve">Quentin Quinn</t>
  </si>
  <si>
    <t xml:space="preserve">Facilities Coordinator</t>
  </si>
  <si>
    <t xml:space="preserve">quentin.quinn@ngo-example.org</t>
  </si>
  <si>
    <t xml:space="preserve">WD-1018</t>
  </si>
  <si>
    <t xml:space="preserve">Ravi Rossi</t>
  </si>
  <si>
    <t xml:space="preserve">People Operations Director</t>
  </si>
  <si>
    <t xml:space="preserve">People Operations</t>
  </si>
  <si>
    <t xml:space="preserve">ravi.rossi@ngo-example.org</t>
  </si>
  <si>
    <t xml:space="preserve">WD-1019</t>
  </si>
  <si>
    <t xml:space="preserve">Sofia Silva</t>
  </si>
  <si>
    <t xml:space="preserve">sofia.silva@ngo-example.org</t>
  </si>
  <si>
    <t xml:space="preserve">WD-1020</t>
  </si>
  <si>
    <t xml:space="preserve">Tomas Traore</t>
  </si>
  <si>
    <t xml:space="preserve">L&amp;D Specialist</t>
  </si>
  <si>
    <t xml:space="preserve">tomas.traore@ngo-example.org</t>
  </si>
  <si>
    <t xml:space="preserve">WD-1021</t>
  </si>
  <si>
    <t xml:space="preserve">Uma Ullah</t>
  </si>
  <si>
    <t xml:space="preserve">Talent Acquisition Partner</t>
  </si>
  <si>
    <t xml:space="preserve">uma.ullah@ngo-example.org</t>
  </si>
  <si>
    <t xml:space="preserve">WD-1022</t>
  </si>
  <si>
    <t xml:space="preserve">Victor Vargas</t>
  </si>
  <si>
    <t xml:space="preserve">IT &amp; Data</t>
  </si>
  <si>
    <t xml:space="preserve">victor.vargas@ngo-example.org</t>
  </si>
  <si>
    <t xml:space="preserve">WD-1023</t>
  </si>
  <si>
    <t xml:space="preserve">Wanjiru Williams</t>
  </si>
  <si>
    <t xml:space="preserve">Data Analyst</t>
  </si>
  <si>
    <t xml:space="preserve">wanjiru.williams@ngo-example.org</t>
  </si>
  <si>
    <t xml:space="preserve">WD-1024</t>
  </si>
  <si>
    <t xml:space="preserve">Xavier Xu</t>
  </si>
  <si>
    <t xml:space="preserve">IT Support Officer</t>
  </si>
  <si>
    <t xml:space="preserve">xavier.xu@ngo-example.org</t>
  </si>
  <si>
    <t xml:space="preserve">Snapshot_Date</t>
  </si>
  <si>
    <t xml:space="preserve">TeamName</t>
  </si>
  <si>
    <t xml:space="preserve">Display_Name</t>
  </si>
  <si>
    <t xml:space="preserve">User_Principal_Name</t>
  </si>
  <si>
    <t xml:space="preserve">Role</t>
  </si>
  <si>
    <t xml:space="preserve">User_Type</t>
  </si>
  <si>
    <t xml:space="preserve">Member</t>
  </si>
  <si>
    <t xml:space="preserve">Owner</t>
  </si>
  <si>
    <t xml:space="preserve">Change_ID</t>
  </si>
  <si>
    <t xml:space="preserve">Full_Name</t>
  </si>
  <si>
    <t xml:space="preserve">Change_Type</t>
  </si>
  <si>
    <t xml:space="preserve">CHG-0006</t>
  </si>
  <si>
    <t xml:space="preserve">Left</t>
  </si>
  <si>
    <t xml:space="preserve">CHG-0013</t>
  </si>
  <si>
    <t xml:space="preserve">Joined</t>
  </si>
  <si>
    <t xml:space="preserve">CHG-0014</t>
  </si>
  <si>
    <t xml:space="preserve">CHG-0017</t>
  </si>
  <si>
    <t xml:space="preserve">CHG-0018</t>
  </si>
  <si>
    <t xml:space="preserve">CHG-0001</t>
  </si>
  <si>
    <t xml:space="preserve">CHG-0009</t>
  </si>
  <si>
    <t xml:space="preserve">CHG-0002</t>
  </si>
  <si>
    <t xml:space="preserve">CHG-0015</t>
  </si>
  <si>
    <t xml:space="preserve">CHG-0019</t>
  </si>
  <si>
    <t xml:space="preserve">CHG-0020</t>
  </si>
  <si>
    <t xml:space="preserve">CHG-0023</t>
  </si>
  <si>
    <t xml:space="preserve">CHG-0024</t>
  </si>
  <si>
    <t xml:space="preserve">CHG-0003</t>
  </si>
  <si>
    <t xml:space="preserve">CHG-0004</t>
  </si>
  <si>
    <t xml:space="preserve">CHG-0007</t>
  </si>
  <si>
    <t xml:space="preserve">CHG-0010</t>
  </si>
  <si>
    <t xml:space="preserve">CHG-0021</t>
  </si>
  <si>
    <t xml:space="preserve">CHG-0005</t>
  </si>
  <si>
    <t xml:space="preserve">CHG-0008</t>
  </si>
  <si>
    <t xml:space="preserve">CHG-0011</t>
  </si>
  <si>
    <t xml:space="preserve">CHG-0012</t>
  </si>
  <si>
    <t xml:space="preserve">CHG-0016</t>
  </si>
  <si>
    <t xml:space="preserve">CHG-0022</t>
  </si>
  <si>
    <t xml:space="preserve">ID</t>
  </si>
  <si>
    <t xml:space="preserve">Event_ID</t>
  </si>
  <si>
    <t xml:space="preserve">Event_Name</t>
  </si>
  <si>
    <t xml:space="preserve">Start_time</t>
  </si>
  <si>
    <t xml:space="preserve">Completion_time</t>
  </si>
  <si>
    <t xml:space="preserve">Email</t>
  </si>
  <si>
    <t xml:space="preserve">Name</t>
  </si>
  <si>
    <t xml:space="preserve">Will you attend in person or virtually?</t>
  </si>
  <si>
    <t xml:space="preserve">How did you hear about this event?</t>
  </si>
  <si>
    <t xml:space="preserve">EVT-001</t>
  </si>
  <si>
    <t xml:space="preserve">Women's Network — Speaker Series</t>
  </si>
  <si>
    <t xml:space="preserve">Virtual</t>
  </si>
  <si>
    <t xml:space="preserve">Email newsletter</t>
  </si>
  <si>
    <t xml:space="preserve">All-staff meeting</t>
  </si>
  <si>
    <t xml:space="preserve">In person</t>
  </si>
  <si>
    <t xml:space="preserve">Teams channel</t>
  </si>
  <si>
    <t xml:space="preserve">EVT-002</t>
  </si>
  <si>
    <t xml:space="preserve">Colleague</t>
  </si>
  <si>
    <t xml:space="preserve">EVT-003</t>
  </si>
  <si>
    <t xml:space="preserve">Women's Network — Panel Discussion</t>
  </si>
  <si>
    <t xml:space="preserve">EVT-004</t>
  </si>
  <si>
    <t xml:space="preserve">Pride Alliance — Lunch &amp; Learn</t>
  </si>
  <si>
    <t xml:space="preserve">EVT-005</t>
  </si>
  <si>
    <t xml:space="preserve">Pride Alliance — Speaker Series</t>
  </si>
  <si>
    <t xml:space="preserve">EVT-006</t>
  </si>
  <si>
    <t xml:space="preserve">Pride Alliance — Social Mixer</t>
  </si>
  <si>
    <t xml:space="preserve">EVT-007</t>
  </si>
  <si>
    <t xml:space="preserve">Black &amp; African Diaspora Network — Panel Discussion</t>
  </si>
  <si>
    <t xml:space="preserve">EVT-008</t>
  </si>
  <si>
    <t xml:space="preserve">Black &amp; African Diaspora Network — Speaker Series</t>
  </si>
  <si>
    <t xml:space="preserve">EVT-009</t>
  </si>
  <si>
    <t xml:space="preserve">Black &amp; African Diaspora Network — Lunch &amp; Learn</t>
  </si>
  <si>
    <t xml:space="preserve">EVT-010</t>
  </si>
  <si>
    <t xml:space="preserve">Emerging Professionals Network — Panel Discussion</t>
  </si>
  <si>
    <t xml:space="preserve">EVT-011</t>
  </si>
  <si>
    <t xml:space="preserve">Emerging Professionals Network — Lunch &amp; Learn</t>
  </si>
  <si>
    <t xml:space="preserve">EVT-012</t>
  </si>
  <si>
    <t xml:space="preserve">EVT-013</t>
  </si>
  <si>
    <t xml:space="preserve">Accessibility &amp; Disability Inclusion Network — Speaker Series</t>
  </si>
  <si>
    <t xml:space="preserve">EVT-014</t>
  </si>
  <si>
    <t xml:space="preserve">EVT-015</t>
  </si>
  <si>
    <t xml:space="preserve">Global &amp; Multicultural Network — Speaker Series</t>
  </si>
  <si>
    <t xml:space="preserve">EVT-016</t>
  </si>
  <si>
    <t xml:space="preserve">Global &amp; Multicultural Network — Lunch &amp; Learn</t>
  </si>
  <si>
    <t xml:space="preserve">EVT-017</t>
  </si>
  <si>
    <t xml:space="preserve">Global &amp; Multicultural Network — Volunteer Day</t>
  </si>
  <si>
    <t xml:space="preserve">Event_Date</t>
  </si>
  <si>
    <t xml:space="preserve">Event_Type</t>
  </si>
  <si>
    <t xml:space="preserve">Planned_Attendance</t>
  </si>
  <si>
    <t xml:space="preserve">Actual_Registrations</t>
  </si>
  <si>
    <t xml:space="preserve">Cost_GBP</t>
  </si>
  <si>
    <t xml:space="preserve">Speaker Series</t>
  </si>
  <si>
    <t xml:space="preserve">Panel Discussion</t>
  </si>
  <si>
    <t xml:space="preserve">Lunch &amp; Learn</t>
  </si>
  <si>
    <t xml:space="preserve">Social Mixer</t>
  </si>
  <si>
    <t xml:space="preserve">Volunteer Day</t>
  </si>
  <si>
    <t xml:space="preserve">Fiscal_Year</t>
  </si>
  <si>
    <t xml:space="preserve">Budgeted_GBP</t>
  </si>
  <si>
    <t xml:space="preserve">Actual_Spend_GBP</t>
  </si>
  <si>
    <t xml:space="preserve">Variance_GBP</t>
  </si>
  <si>
    <t xml:space="preserve">Percent_Utilized</t>
  </si>
  <si>
    <t xml:space="preserve">FY2026</t>
  </si>
  <si>
    <t xml:space="preserve">Chart source tables (auto-calculated). Do not delete.</t>
  </si>
  <si>
    <t xml:space="preserve">Current Members by ERG</t>
  </si>
  <si>
    <t xml:space="preserve">Participation Split</t>
  </si>
  <si>
    <t xml:space="preserve">Budget vs Actual by ERG</t>
  </si>
  <si>
    <t xml:space="preserve">Actual</t>
  </si>
  <si>
    <t xml:space="preserve">In an ERG</t>
  </si>
  <si>
    <t xml:space="preserve">Not in an ERG</t>
  </si>
  <si>
    <t xml:space="preserve">ERG Membership Changes by Month</t>
  </si>
  <si>
    <t xml:space="preserve">Month</t>
  </si>
  <si>
    <t xml:space="preserve">Mar 26</t>
  </si>
  <si>
    <t xml:space="preserve">Apr 26</t>
  </si>
  <si>
    <t xml:space="preserve">May 26</t>
  </si>
  <si>
    <t xml:space="preserve">Jun 26</t>
  </si>
  <si>
    <t xml:space="preserve">Jul 26</t>
  </si>
  <si>
    <t xml:space="preserve">Registrations by Event Type</t>
  </si>
</sst>
</file>

<file path=xl/styles.xml><?xml version="1.0" encoding="utf-8"?>
<styleSheet xmlns="http://schemas.openxmlformats.org/spreadsheetml/2006/main">
  <numFmts count="9">
    <numFmt numFmtId="164" formatCode="General"/>
    <numFmt numFmtId="165" formatCode="0"/>
    <numFmt numFmtId="166" formatCode="0.0%"/>
    <numFmt numFmtId="167" formatCode="\£#,##0"/>
    <numFmt numFmtId="168" formatCode="0.0"/>
    <numFmt numFmtId="169" formatCode="\+0;\-0"/>
    <numFmt numFmtId="170" formatCode="yyyy\-mm\-dd"/>
    <numFmt numFmtId="171" formatCode="General"/>
    <numFmt numFmtId="172" formatCode="\£#,##0.00"/>
  </numFmts>
  <fonts count="2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5"/>
      <color rgb="FF1F5C5A"/>
      <name val="Arial"/>
      <family val="0"/>
      <charset val="1"/>
    </font>
    <font>
      <b val="true"/>
      <sz val="10"/>
      <color rgb="FF2E7D6B"/>
      <name val="Arial"/>
      <family val="0"/>
      <charset val="1"/>
    </font>
    <font>
      <sz val="10"/>
      <name val="Arial"/>
      <family val="0"/>
      <charset val="1"/>
    </font>
    <font>
      <b val="true"/>
      <sz val="12"/>
      <color rgb="FF1F5C5A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6"/>
      <color rgb="FF1F5C5A"/>
      <name val="Arial"/>
      <family val="0"/>
      <charset val="1"/>
    </font>
    <font>
      <sz val="9"/>
      <color rgb="FF5A6B68"/>
      <name val="Arial"/>
      <family val="0"/>
      <charset val="1"/>
    </font>
    <font>
      <i val="true"/>
      <sz val="9"/>
      <color rgb="FF5A6B68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color rgb="FF2E7D6B"/>
      <name val="Arial"/>
      <family val="0"/>
      <charset val="1"/>
    </font>
    <font>
      <b val="true"/>
      <sz val="9"/>
      <color rgb="FF5A6B68"/>
      <name val="Arial"/>
      <family val="0"/>
      <charset val="1"/>
    </font>
    <font>
      <b val="true"/>
      <sz val="20"/>
      <color rgb="FF3C8D6E"/>
      <name val="Arial"/>
      <family val="0"/>
      <charset val="1"/>
    </font>
    <font>
      <b val="true"/>
      <sz val="20"/>
      <color rgb="FF4E9A6B"/>
      <name val="Arial"/>
      <family val="0"/>
      <charset val="1"/>
    </font>
    <font>
      <b val="true"/>
      <sz val="20"/>
      <color rgb="FFE8A33D"/>
      <name val="Arial"/>
      <family val="0"/>
      <charset val="1"/>
    </font>
    <font>
      <b val="true"/>
      <sz val="20"/>
      <color rgb="FF2E7D6B"/>
      <name val="Arial"/>
      <family val="0"/>
      <charset val="1"/>
    </font>
    <font>
      <b val="true"/>
      <sz val="20"/>
      <color rgb="FFC0504D"/>
      <name val="Arial"/>
      <family val="0"/>
      <charset val="1"/>
    </font>
    <font>
      <b val="true"/>
      <sz val="20"/>
      <color rgb="FF5A6B68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1F5C5A"/>
      <name val="Arial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1F5C5A"/>
        <bgColor rgb="FF46706C"/>
      </patternFill>
    </fill>
    <fill>
      <patternFill patternType="solid">
        <fgColor rgb="FFF4F8F6"/>
        <bgColor rgb="FFEAF3EF"/>
      </patternFill>
    </fill>
    <fill>
      <patternFill patternType="solid">
        <fgColor rgb="FF2E7D6B"/>
        <bgColor rgb="FF3C8D6E"/>
      </patternFill>
    </fill>
    <fill>
      <patternFill patternType="solid">
        <fgColor rgb="FFEAF3EF"/>
        <bgColor rgb="FFF4F8F6"/>
      </patternFill>
    </fill>
    <fill>
      <patternFill patternType="solid">
        <fgColor rgb="FF7A8C89"/>
        <bgColor rgb="FF878787"/>
      </patternFill>
    </fill>
    <fill>
      <patternFill patternType="solid">
        <fgColor rgb="FF46706C"/>
        <bgColor rgb="FF5A6B68"/>
      </patternFill>
    </fill>
  </fills>
  <borders count="8">
    <border diagonalUp="false" diagonalDown="false">
      <left/>
      <right/>
      <top/>
      <bottom/>
      <diagonal/>
    </border>
    <border diagonalUp="false" diagonalDown="false">
      <left/>
      <right/>
      <top/>
      <bottom style="thick">
        <color rgb="FF3C8D6E"/>
      </bottom>
      <diagonal/>
    </border>
    <border diagonalUp="false" diagonalDown="false">
      <left/>
      <right/>
      <top/>
      <bottom style="thick">
        <color rgb="FF4E9A6B"/>
      </bottom>
      <diagonal/>
    </border>
    <border diagonalUp="false" diagonalDown="false">
      <left/>
      <right/>
      <top/>
      <bottom style="thick">
        <color rgb="FFE8A33D"/>
      </bottom>
      <diagonal/>
    </border>
    <border diagonalUp="false" diagonalDown="false">
      <left/>
      <right/>
      <top/>
      <bottom style="thick">
        <color rgb="FF2E7D6B"/>
      </bottom>
      <diagonal/>
    </border>
    <border diagonalUp="false" diagonalDown="false">
      <left/>
      <right/>
      <top/>
      <bottom style="thick">
        <color rgb="FFC0504D"/>
      </bottom>
      <diagonal/>
    </border>
    <border diagonalUp="false" diagonalDown="false">
      <left/>
      <right/>
      <top/>
      <bottom style="thick">
        <color rgb="FF5A6B68"/>
      </bottom>
      <diagonal/>
    </border>
    <border diagonalUp="false" diagonalDown="false">
      <left style="thin">
        <color rgb="FFD9E2DF"/>
      </left>
      <right style="thin">
        <color rgb="FFD9E2DF"/>
      </right>
      <top style="thin">
        <color rgb="FFD9E2DF"/>
      </top>
      <bottom style="thin">
        <color rgb="FFD9E2D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1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4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3" fillId="0" borderId="0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14" fillId="5" borderId="0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5" fontId="15" fillId="5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5" fontId="16" fillId="5" borderId="2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5" fontId="17" fillId="5" borderId="3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6" fontId="18" fillId="5" borderId="4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7" fontId="18" fillId="5" borderId="4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7" fontId="16" fillId="5" borderId="2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6" fontId="17" fillId="5" borderId="3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5" fontId="19" fillId="5" borderId="5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5" fontId="18" fillId="5" borderId="4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8" fontId="18" fillId="5" borderId="4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7" fontId="17" fillId="5" borderId="3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9" fontId="18" fillId="5" borderId="4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5" fontId="20" fillId="5" borderId="6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8" fillId="2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6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3" borderId="7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70" fontId="6" fillId="3" borderId="7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71" fontId="6" fillId="3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7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70" fontId="6" fillId="0" borderId="7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71" fontId="6" fillId="0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7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2" fontId="6" fillId="3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2" fontId="6" fillId="0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6" fillId="3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6" fillId="3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6" fillId="0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6" fillId="0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6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70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6">
    <dxf>
      <fill>
        <patternFill patternType="solid">
          <fgColor rgb="FF1F5C5A"/>
          <bgColor rgb="FF000000"/>
        </patternFill>
      </fill>
    </dxf>
    <dxf>
      <fill>
        <patternFill patternType="solid">
          <fgColor rgb="FFF4F8F6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7A8C89"/>
          <bgColor rgb="FF000000"/>
        </patternFill>
      </fill>
    </dxf>
    <dxf>
      <fill>
        <patternFill patternType="solid">
          <fgColor rgb="FF46706C"/>
          <bgColor rgb="FF000000"/>
        </patternFill>
      </fill>
    </dxf>
    <dxf>
      <fill>
        <patternFill patternType="solid">
          <fgColor rgb="FFD6EBDD"/>
          <bgColor rgb="FF000000"/>
        </patternFill>
      </fill>
    </dxf>
    <dxf>
      <fill>
        <patternFill patternType="solid">
          <fgColor rgb="FFF6D4D3"/>
          <bgColor rgb="FF000000"/>
        </patternFill>
      </fill>
    </dxf>
    <dxf>
      <fill>
        <patternFill>
          <bgColor rgb="FFD6EBDD"/>
        </patternFill>
      </fill>
    </dxf>
    <dxf>
      <fill>
        <patternFill>
          <bgColor rgb="FFF6D4D3"/>
        </patternFill>
      </fill>
    </dxf>
    <dxf>
      <fill>
        <patternFill patternType="solid">
          <fgColor rgb="FFE6EBD5"/>
          <bgColor rgb="FF000000"/>
        </patternFill>
      </fill>
    </dxf>
    <dxf>
      <fill>
        <patternFill patternType="solid">
          <fgColor rgb="FFE7EBD4"/>
          <bgColor rgb="FF000000"/>
        </patternFill>
      </fill>
    </dxf>
    <dxf>
      <fill>
        <patternFill patternType="solid">
          <fgColor rgb="FFE9EBD3"/>
          <bgColor rgb="FF000000"/>
        </patternFill>
      </fill>
    </dxf>
    <dxf>
      <fill>
        <patternFill patternType="solid">
          <fgColor rgb="FFF3EACE"/>
          <bgColor rgb="FF000000"/>
        </patternFill>
      </fill>
    </dxf>
    <dxf>
      <fill>
        <patternFill patternType="solid">
          <fgColor rgb="FFF6EACC"/>
          <bgColor rgb="FF000000"/>
        </patternFill>
      </fill>
    </dxf>
    <dxf>
      <fill>
        <patternFill patternType="solid">
          <fgColor rgb="FFF7CAC5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4E9A6B"/>
      <rgbColor rgb="FF000080"/>
      <rgbColor rgb="FF5A6B68"/>
      <rgbColor rgb="FF800080"/>
      <rgbColor rgb="FF2E7D6B"/>
      <rgbColor rgb="FFC0C0C0"/>
      <rgbColor rgb="FF878787"/>
      <rgbColor rgb="FF9999FF"/>
      <rgbColor rgb="FFBE4B48"/>
      <rgbColor rgb="FFF4F8F6"/>
      <rgbColor rgb="FFEAF3EF"/>
      <rgbColor rgb="FF660066"/>
      <rgbColor rgb="FFFF8080"/>
      <rgbColor rgb="FF4F81BD"/>
      <rgbColor rgb="FFD9D9D9"/>
      <rgbColor rgb="FF000080"/>
      <rgbColor rgb="FFFF00FF"/>
      <rgbColor rgb="FFFFFF00"/>
      <rgbColor rgb="FF00FFFF"/>
      <rgbColor rgb="FF800080"/>
      <rgbColor rgb="FF800000"/>
      <rgbColor rgb="FF1F5C5A"/>
      <rgbColor rgb="FF0000FF"/>
      <rgbColor rgb="FF00CCFF"/>
      <rgbColor rgb="FFD9E2DF"/>
      <rgbColor rgb="FFD6EBDD"/>
      <rgbColor rgb="FFFFFF99"/>
      <rgbColor rgb="FF99CCFF"/>
      <rgbColor rgb="FFFF99CC"/>
      <rgbColor rgb="FFCC99FF"/>
      <rgbColor rgb="FFF6D4D3"/>
      <rgbColor rgb="FF4A7EBB"/>
      <rgbColor rgb="FF4BACC6"/>
      <rgbColor rgb="FF9BBB59"/>
      <rgbColor rgb="FFFFCC00"/>
      <rgbColor rgb="FFE8A33D"/>
      <rgbColor rgb="FFFF6600"/>
      <rgbColor rgb="FF8064A2"/>
      <rgbColor rgb="FF7A8C89"/>
      <rgbColor rgb="FF003366"/>
      <rgbColor rgb="FF3C8D6E"/>
      <rgbColor rgb="FF003300"/>
      <rgbColor rgb="FF333300"/>
      <rgbColor rgb="FF993300"/>
      <rgbColor rgb="FFC0504D"/>
      <rgbColor rgb="FF46706C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Current Members by ERG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Calc!$A$4:$A$9</c:f>
              <c:strCache>
                <c:ptCount val="6"/>
                <c:pt idx="0">
                  <c:v>Women's Network</c:v>
                </c:pt>
                <c:pt idx="1">
                  <c:v>Pride Alliance</c:v>
                </c:pt>
                <c:pt idx="2">
                  <c:v>Black &amp; African Diaspora Network</c:v>
                </c:pt>
                <c:pt idx="3">
                  <c:v>Emerging Professionals Network</c:v>
                </c:pt>
                <c:pt idx="4">
                  <c:v>Accessibility &amp; Disability Inclusion Network</c:v>
                </c:pt>
                <c:pt idx="5">
                  <c:v>Global &amp; Multicultural Network</c:v>
                </c:pt>
              </c:strCache>
            </c:strRef>
          </c:cat>
          <c:val>
            <c:numRef>
              <c:f>Calc!$B$4:$B$9</c:f>
              <c:numCache>
                <c:formatCode>General</c:formatCode>
                <c:ptCount val="6"/>
                <c:pt idx="0">
                  <c:v>2</c:v>
                </c:pt>
                <c:pt idx="1">
                  <c:v>0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2</c:v>
                </c:pt>
              </c:numCache>
            </c:numRef>
          </c:val>
        </c:ser>
        <c:gapWidth val="150"/>
        <c:overlap val="0"/>
        <c:axId val="88153889"/>
        <c:axId val="71999822"/>
      </c:barChart>
      <c:catAx>
        <c:axId val="8815388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1999822"/>
        <c:crosses val="autoZero"/>
        <c:auto val="1"/>
        <c:lblAlgn val="ctr"/>
        <c:lblOffset val="100"/>
        <c:noMultiLvlLbl val="0"/>
      </c:catAx>
      <c:valAx>
        <c:axId val="71999822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8153889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Participation: In ERG vs Not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doughnutChart>
        <c:varyColors val="1"/>
        <c:ser>
          <c:idx val="0"/>
          <c:order val="0"/>
          <c:spPr>
            <a:solidFill>
              <a:srgbClr val="4f81bd"/>
            </a:solidFill>
            <a:ln w="0">
              <a:noFill/>
            </a:ln>
          </c:spPr>
          <c:explosion val="0"/>
          <c:dPt>
            <c:idx val="0"/>
            <c:spPr>
              <a:solidFill>
                <a:srgbClr val="4f81bd"/>
              </a:solidFill>
              <a:ln w="0">
                <a:noFill/>
              </a:ln>
            </c:spPr>
          </c:dPt>
          <c:dPt>
            <c:idx val="1"/>
            <c:spPr>
              <a:solidFill>
                <a:srgbClr val="c0504d"/>
              </a:solidFill>
              <a:ln w="0">
                <a:noFill/>
              </a:ln>
            </c:spPr>
          </c:dPt>
          <c:dLbls>
            <c:dLbl>
              <c:idx val="0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1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</c:dLbls>
          <c:cat>
            <c:strRef>
              <c:f>Calc!$D$4:$D$5</c:f>
              <c:strCache>
                <c:ptCount val="2"/>
                <c:pt idx="0">
                  <c:v>In an ERG</c:v>
                </c:pt>
                <c:pt idx="1">
                  <c:v>Not in an ERG</c:v>
                </c:pt>
              </c:strCache>
            </c:strRef>
          </c:cat>
          <c:val>
            <c:numRef>
              <c:f>Calc!$E$4:$E$5</c:f>
              <c:numCache>
                <c:formatCode>General</c:formatCode>
                <c:ptCount val="2"/>
                <c:pt idx="0">
                  <c:v>7</c:v>
                </c:pt>
                <c:pt idx="1">
                  <c:v>13</c:v>
                </c:pt>
              </c:numCache>
            </c:numRef>
          </c:val>
        </c:ser>
        <c:firstSliceAng val="0"/>
        <c:holeSize val="50"/>
      </c:doughnut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Budget vs Actual Spend by ERG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Calc!H3</c:f>
              <c:strCache>
                <c:ptCount val="1"/>
                <c:pt idx="0">
                  <c:v/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Calc!$G$4:$G$9</c:f>
              <c:strCache>
                <c:ptCount val="6"/>
                <c:pt idx="0">
                  <c:v>Women's Network</c:v>
                </c:pt>
                <c:pt idx="1">
                  <c:v>Pride Alliance</c:v>
                </c:pt>
                <c:pt idx="2">
                  <c:v>Black &amp; African Diaspora Network</c:v>
                </c:pt>
                <c:pt idx="3">
                  <c:v>Emerging Professionals Network</c:v>
                </c:pt>
                <c:pt idx="4">
                  <c:v>Accessibility &amp; Disability Inclusion Network</c:v>
                </c:pt>
                <c:pt idx="5">
                  <c:v>Global &amp; Multicultural Network</c:v>
                </c:pt>
              </c:strCache>
            </c:strRef>
          </c:cat>
          <c:val>
            <c:numRef>
              <c:f>Calc!$H$4:$H$9</c:f>
              <c:numCache>
                <c:formatCode>General</c:formatCode>
                <c:ptCount val="6"/>
                <c:pt idx="0">
                  <c:v>2000</c:v>
                </c:pt>
                <c:pt idx="1">
                  <c:v>2000</c:v>
                </c:pt>
                <c:pt idx="2">
                  <c:v>3500</c:v>
                </c:pt>
                <c:pt idx="3">
                  <c:v>1500</c:v>
                </c:pt>
                <c:pt idx="4">
                  <c:v>3000</c:v>
                </c:pt>
                <c:pt idx="5">
                  <c:v>1500</c:v>
                </c:pt>
              </c:numCache>
            </c:numRef>
          </c:val>
        </c:ser>
        <c:ser>
          <c:idx val="1"/>
          <c:order val="1"/>
          <c:tx>
            <c:strRef>
              <c:f>Calc!I3</c:f>
              <c:strCache>
                <c:ptCount val="1"/>
                <c:pt idx="0">
                  <c:v>Actual</c:v>
                </c:pt>
              </c:strCache>
            </c:strRef>
          </c:tx>
          <c:spPr>
            <a:solidFill>
              <a:srgbClr val="c0504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Calc!$G$4:$G$9</c:f>
              <c:strCache>
                <c:ptCount val="6"/>
                <c:pt idx="0">
                  <c:v>Women's Network</c:v>
                </c:pt>
                <c:pt idx="1">
                  <c:v>Pride Alliance</c:v>
                </c:pt>
                <c:pt idx="2">
                  <c:v>Black &amp; African Diaspora Network</c:v>
                </c:pt>
                <c:pt idx="3">
                  <c:v>Emerging Professionals Network</c:v>
                </c:pt>
                <c:pt idx="4">
                  <c:v>Accessibility &amp; Disability Inclusion Network</c:v>
                </c:pt>
                <c:pt idx="5">
                  <c:v>Global &amp; Multicultural Network</c:v>
                </c:pt>
              </c:strCache>
            </c:strRef>
          </c:cat>
          <c:val>
            <c:numRef>
              <c:f>Calc!$I$4:$I$9</c:f>
              <c:numCache>
                <c:formatCode>General</c:formatCode>
                <c:ptCount val="6"/>
                <c:pt idx="0">
                  <c:v>1506.51</c:v>
                </c:pt>
                <c:pt idx="1">
                  <c:v>993.79</c:v>
                </c:pt>
                <c:pt idx="2">
                  <c:v>1538.52</c:v>
                </c:pt>
                <c:pt idx="3">
                  <c:v>1899.4</c:v>
                </c:pt>
                <c:pt idx="4">
                  <c:v>1258.23</c:v>
                </c:pt>
                <c:pt idx="5">
                  <c:v>1263.26</c:v>
                </c:pt>
              </c:numCache>
            </c:numRef>
          </c:val>
        </c:ser>
        <c:gapWidth val="150"/>
        <c:overlap val="0"/>
        <c:axId val="37158091"/>
        <c:axId val="13818304"/>
      </c:barChart>
      <c:catAx>
        <c:axId val="3715809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3818304"/>
        <c:crosses val="autoZero"/>
        <c:auto val="1"/>
        <c:lblAlgn val="ctr"/>
        <c:lblOffset val="100"/>
        <c:noMultiLvlLbl val="0"/>
      </c:catAx>
      <c:valAx>
        <c:axId val="13818304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7158091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ERG Joins vs Leaves (monthly)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Calc!B13</c:f>
              <c:strCache>
                <c:ptCount val="1"/>
                <c:pt idx="0">
                  <c:v>Joined</c:v>
                </c:pt>
              </c:strCache>
            </c:strRef>
          </c:tx>
          <c:spPr>
            <a:solidFill>
              <a:srgbClr val="4a7ebb"/>
            </a:solidFill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Calc!$A$14:$A$18</c:f>
              <c:strCache>
                <c:ptCount val="5"/>
                <c:pt idx="0">
                  <c:v>Mar 26</c:v>
                </c:pt>
                <c:pt idx="1">
                  <c:v>Apr 26</c:v>
                </c:pt>
                <c:pt idx="2">
                  <c:v>May 26</c:v>
                </c:pt>
                <c:pt idx="3">
                  <c:v>Jun 26</c:v>
                </c:pt>
                <c:pt idx="4">
                  <c:v>Jul 26</c:v>
                </c:pt>
              </c:strCache>
            </c:strRef>
          </c:cat>
          <c:val>
            <c:numRef>
              <c:f>Calc!$B$14:$B$18</c:f>
              <c:numCache>
                <c:formatCode>General</c:formatCode>
                <c:ptCount val="5"/>
                <c:pt idx="0">
                  <c:v>2</c:v>
                </c:pt>
                <c:pt idx="1">
                  <c:v>0</c:v>
                </c:pt>
                <c:pt idx="2">
                  <c:v>2</c:v>
                </c:pt>
                <c:pt idx="3">
                  <c:v>4</c:v>
                </c:pt>
                <c:pt idx="4">
                  <c:v>2</c:v>
                </c:pt>
              </c:numCache>
            </c:numRef>
          </c:val>
          <c:smooth val="1"/>
        </c:ser>
        <c:ser>
          <c:idx val="1"/>
          <c:order val="1"/>
          <c:tx>
            <c:strRef>
              <c:f>Calc!C13</c:f>
              <c:strCache>
                <c:ptCount val="1"/>
                <c:pt idx="0">
                  <c:v>Left</c:v>
                </c:pt>
              </c:strCache>
            </c:strRef>
          </c:tx>
          <c:spPr>
            <a:solidFill>
              <a:srgbClr val="be4b48"/>
            </a:solidFill>
            <a:ln w="28440">
              <a:solidFill>
                <a:srgbClr val="be4b48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Calc!$A$14:$A$18</c:f>
              <c:strCache>
                <c:ptCount val="5"/>
                <c:pt idx="0">
                  <c:v>Mar 26</c:v>
                </c:pt>
                <c:pt idx="1">
                  <c:v>Apr 26</c:v>
                </c:pt>
                <c:pt idx="2">
                  <c:v>May 26</c:v>
                </c:pt>
                <c:pt idx="3">
                  <c:v>Jun 26</c:v>
                </c:pt>
                <c:pt idx="4">
                  <c:v>Jul 26</c:v>
                </c:pt>
              </c:strCache>
            </c:strRef>
          </c:cat>
          <c:val>
            <c:numRef>
              <c:f>Calc!$C$14:$C$18</c:f>
              <c:numCache>
                <c:formatCode>General</c:formatCode>
                <c:ptCount val="5"/>
                <c:pt idx="0">
                  <c:v>3</c:v>
                </c:pt>
                <c:pt idx="1">
                  <c:v>2</c:v>
                </c:pt>
                <c:pt idx="2">
                  <c:v>4</c:v>
                </c:pt>
                <c:pt idx="3">
                  <c:v>1</c:v>
                </c:pt>
                <c:pt idx="4">
                  <c:v>4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23365164"/>
        <c:axId val="89547612"/>
      </c:lineChart>
      <c:catAx>
        <c:axId val="233651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9547612"/>
        <c:crosses val="autoZero"/>
        <c:auto val="1"/>
        <c:lblAlgn val="ctr"/>
        <c:lblOffset val="100"/>
        <c:noMultiLvlLbl val="0"/>
      </c:catAx>
      <c:valAx>
        <c:axId val="89547612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3365164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Registrations by Event Type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pieChart>
        <c:varyColors val="1"/>
        <c:ser>
          <c:idx val="0"/>
          <c:order val="0"/>
          <c:spPr>
            <a:solidFill>
              <a:srgbClr val="4f81bd"/>
            </a:solidFill>
            <a:ln w="0">
              <a:noFill/>
            </a:ln>
          </c:spPr>
          <c:explosion val="0"/>
          <c:dPt>
            <c:idx val="0"/>
            <c:spPr>
              <a:solidFill>
                <a:srgbClr val="4f81bd"/>
              </a:solidFill>
              <a:ln w="0">
                <a:noFill/>
              </a:ln>
            </c:spPr>
          </c:dPt>
          <c:dPt>
            <c:idx val="1"/>
            <c:spPr>
              <a:solidFill>
                <a:srgbClr val="c0504d"/>
              </a:solidFill>
              <a:ln w="0">
                <a:noFill/>
              </a:ln>
            </c:spPr>
          </c:dPt>
          <c:dPt>
            <c:idx val="2"/>
            <c:spPr>
              <a:solidFill>
                <a:srgbClr val="9bbb59"/>
              </a:solidFill>
              <a:ln w="0">
                <a:noFill/>
              </a:ln>
            </c:spPr>
          </c:dPt>
          <c:dPt>
            <c:idx val="3"/>
            <c:spPr>
              <a:solidFill>
                <a:srgbClr val="8064a2"/>
              </a:solidFill>
              <a:ln w="0">
                <a:noFill/>
              </a:ln>
            </c:spPr>
          </c:dPt>
          <c:dPt>
            <c:idx val="4"/>
            <c:spPr>
              <a:solidFill>
                <a:srgbClr val="4bacc6"/>
              </a:solidFill>
              <a:ln w="0">
                <a:noFill/>
              </a:ln>
            </c:spPr>
          </c:dPt>
          <c:dLbls>
            <c:dLbl>
              <c:idx val="0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1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2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3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4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</c:dLbls>
          <c:cat>
            <c:strRef>
              <c:f>Calc!$A$26:$A$30</c:f>
              <c:strCache>
                <c:ptCount val="5"/>
                <c:pt idx="0">
                  <c:v>Lunch &amp; Learn</c:v>
                </c:pt>
                <c:pt idx="1">
                  <c:v>Panel Discussion</c:v>
                </c:pt>
                <c:pt idx="2">
                  <c:v>Social Mixer</c:v>
                </c:pt>
                <c:pt idx="3">
                  <c:v>Speaker Series</c:v>
                </c:pt>
                <c:pt idx="4">
                  <c:v>Volunteer Day</c:v>
                </c:pt>
              </c:strCache>
            </c:strRef>
          </c:cat>
          <c:val>
            <c:numRef>
              <c:f>Calc!$B$26:$B$30</c:f>
              <c:numCache>
                <c:formatCode>General</c:formatCode>
                <c:ptCount val="5"/>
                <c:pt idx="0">
                  <c:v>17</c:v>
                </c:pt>
                <c:pt idx="1">
                  <c:v>20</c:v>
                </c:pt>
                <c:pt idx="2">
                  <c:v>3</c:v>
                </c:pt>
                <c:pt idx="3">
                  <c:v>33</c:v>
                </c:pt>
                <c:pt idx="4">
                  <c:v>5</c:v>
                </c:pt>
              </c:numCache>
            </c:numRef>
          </c:val>
        </c:ser>
        <c:firstSliceAng val="0"/>
      </c:pie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Relationship Id="rId5" Type="http://schemas.openxmlformats.org/officeDocument/2006/relationships/chart" Target="../charts/chart5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24</xdr:row>
      <xdr:rowOff>130680</xdr:rowOff>
    </xdr:from>
    <xdr:to>
      <xdr:col>5</xdr:col>
      <xdr:colOff>583920</xdr:colOff>
      <xdr:row>38</xdr:row>
      <xdr:rowOff>55440</xdr:rowOff>
    </xdr:to>
    <xdr:graphicFrame>
      <xdr:nvGraphicFramePr>
        <xdr:cNvPr id="0" name="Chart 1"/>
        <xdr:cNvGraphicFramePr/>
      </xdr:nvGraphicFramePr>
      <xdr:xfrm>
        <a:off x="141120" y="6086520"/>
        <a:ext cx="4319640" cy="2591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7</xdr:col>
      <xdr:colOff>0</xdr:colOff>
      <xdr:row>24</xdr:row>
      <xdr:rowOff>130680</xdr:rowOff>
    </xdr:from>
    <xdr:to>
      <xdr:col>11</xdr:col>
      <xdr:colOff>583920</xdr:colOff>
      <xdr:row>38</xdr:row>
      <xdr:rowOff>55440</xdr:rowOff>
    </xdr:to>
    <xdr:graphicFrame>
      <xdr:nvGraphicFramePr>
        <xdr:cNvPr id="1" name="Chart 2"/>
        <xdr:cNvGraphicFramePr/>
      </xdr:nvGraphicFramePr>
      <xdr:xfrm>
        <a:off x="4793040" y="6086520"/>
        <a:ext cx="4319640" cy="2591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</xdr:col>
      <xdr:colOff>0</xdr:colOff>
      <xdr:row>39</xdr:row>
      <xdr:rowOff>130680</xdr:rowOff>
    </xdr:from>
    <xdr:to>
      <xdr:col>7</xdr:col>
      <xdr:colOff>1107720</xdr:colOff>
      <xdr:row>53</xdr:row>
      <xdr:rowOff>55440</xdr:rowOff>
    </xdr:to>
    <xdr:graphicFrame>
      <xdr:nvGraphicFramePr>
        <xdr:cNvPr id="2" name="Chart 3"/>
        <xdr:cNvGraphicFramePr/>
      </xdr:nvGraphicFramePr>
      <xdr:xfrm>
        <a:off x="141120" y="8943840"/>
        <a:ext cx="5759640" cy="2591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7</xdr:col>
      <xdr:colOff>0</xdr:colOff>
      <xdr:row>39</xdr:row>
      <xdr:rowOff>130680</xdr:rowOff>
    </xdr:from>
    <xdr:to>
      <xdr:col>11</xdr:col>
      <xdr:colOff>583920</xdr:colOff>
      <xdr:row>53</xdr:row>
      <xdr:rowOff>55440</xdr:rowOff>
    </xdr:to>
    <xdr:graphicFrame>
      <xdr:nvGraphicFramePr>
        <xdr:cNvPr id="3" name="Chart 4"/>
        <xdr:cNvGraphicFramePr/>
      </xdr:nvGraphicFramePr>
      <xdr:xfrm>
        <a:off x="4793040" y="8943840"/>
        <a:ext cx="4319640" cy="2591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1</xdr:col>
      <xdr:colOff>0</xdr:colOff>
      <xdr:row>54</xdr:row>
      <xdr:rowOff>130680</xdr:rowOff>
    </xdr:from>
    <xdr:to>
      <xdr:col>5</xdr:col>
      <xdr:colOff>583920</xdr:colOff>
      <xdr:row>68</xdr:row>
      <xdr:rowOff>55440</xdr:rowOff>
    </xdr:to>
    <xdr:graphicFrame>
      <xdr:nvGraphicFramePr>
        <xdr:cNvPr id="4" name="Chart 5"/>
        <xdr:cNvGraphicFramePr/>
      </xdr:nvGraphicFramePr>
      <xdr:xfrm>
        <a:off x="141120" y="11801520"/>
        <a:ext cx="4319640" cy="2591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id="1" name="tblBudget" displayName="tblBudget" ref="A1:G7" headerRowCount="1" totalsRowCount="0" totalsRowShown="0">
  <autoFilter ref="A1:G7"/>
  <tableColumns count="7">
    <tableColumn id="1" name="ERG_ID"/>
    <tableColumn id="2" name="ERG_Name"/>
    <tableColumn id="3" name="Fiscal_Year"/>
    <tableColumn id="4" name="Budgeted_GBP"/>
    <tableColumn id="5" name="Actual_Spend_GBP"/>
    <tableColumn id="6" name="Variance_GBP"/>
    <tableColumn id="7" name="Percent_Utilized"/>
  </tableColumns>
</table>
</file>

<file path=xl/tables/table2.xml><?xml version="1.0" encoding="utf-8"?>
<table xmlns="http://schemas.openxmlformats.org/spreadsheetml/2006/main" id="2" name="tblEmployees" displayName="tblEmployees" ref="A1:H25" headerRowCount="1" totalsRowCount="0" totalsRowShown="0">
  <autoFilter ref="A1:H25"/>
  <tableColumns count="8">
    <tableColumn id="1" name="Worker_ID"/>
    <tableColumn id="2" name="Legal_Name"/>
    <tableColumn id="3" name="Business_Title"/>
    <tableColumn id="4" name="Supervisory_Organization"/>
    <tableColumn id="5" name="Email_Address"/>
    <tableColumn id="6" name="Hire_Date"/>
    <tableColumn id="7" name="Termination_Date"/>
    <tableColumn id="8" name="Worker_Status"/>
  </tableColumns>
</table>
</file>

<file path=xl/tables/table3.xml><?xml version="1.0" encoding="utf-8"?>
<table xmlns="http://schemas.openxmlformats.org/spreadsheetml/2006/main" id="3" name="tblERGChanges" displayName="tblERGChanges" ref="A1:G25" headerRowCount="1" totalsRowCount="0" totalsRowShown="0">
  <autoFilter ref="A1:G25"/>
  <tableColumns count="7">
    <tableColumn id="1" name="Change_ID"/>
    <tableColumn id="2" name="Snapshot_Date"/>
    <tableColumn id="3" name="ERG_ID"/>
    <tableColumn id="4" name="ERG_Name"/>
    <tableColumn id="5" name="Worker_ID"/>
    <tableColumn id="6" name="Full_Name"/>
    <tableColumn id="7" name="Change_Type"/>
  </tableColumns>
</table>
</file>

<file path=xl/tables/table4.xml><?xml version="1.0" encoding="utf-8"?>
<table xmlns="http://schemas.openxmlformats.org/spreadsheetml/2006/main" id="4" name="tblERGs" displayName="tblERGs" ref="A1:J7" headerRowCount="1" totalsRowCount="0" totalsRowShown="0">
  <autoFilter ref="A1:J7"/>
  <tableColumns count="10">
    <tableColumn id="1" name="ERG_ID"/>
    <tableColumn id="2" name="ERG_Name"/>
    <tableColumn id="3" name="Teams_Team_Name"/>
    <tableColumn id="4" name="Channel"/>
    <tableColumn id="5" name="GroupId"/>
    <tableColumn id="6" name="Sponsor"/>
    <tableColumn id="7" name="Category"/>
    <tableColumn id="8" name="Founded_Date"/>
    <tableColumn id="9" name="Status"/>
    <tableColumn id="10" name="Current_Members"/>
  </tableColumns>
</table>
</file>

<file path=xl/tables/table5.xml><?xml version="1.0" encoding="utf-8"?>
<table xmlns="http://schemas.openxmlformats.org/spreadsheetml/2006/main" id="5" name="tblEvents" displayName="tblEvents" ref="A1:I18" headerRowCount="1" totalsRowCount="0" totalsRowShown="0">
  <autoFilter ref="A1:I18"/>
  <tableColumns count="9">
    <tableColumn id="1" name="Event_ID"/>
    <tableColumn id="2" name="ERG_ID"/>
    <tableColumn id="3" name="ERG_Name"/>
    <tableColumn id="4" name="Event_Name"/>
    <tableColumn id="5" name="Event_Date"/>
    <tableColumn id="6" name="Event_Type"/>
    <tableColumn id="7" name="Planned_Attendance"/>
    <tableColumn id="8" name="Actual_Registrations"/>
    <tableColumn id="9" name="Cost_GBP"/>
  </tableColumns>
</table>
</file>

<file path=xl/tables/table6.xml><?xml version="1.0" encoding="utf-8"?>
<table xmlns="http://schemas.openxmlformats.org/spreadsheetml/2006/main" id="6" name="tblFormsReg" displayName="tblFormsReg" ref="A1:I79" headerRowCount="1" totalsRowCount="0" totalsRowShown="0">
  <autoFilter ref="A1:I79"/>
  <tableColumns count="9">
    <tableColumn id="1" name="ID"/>
    <tableColumn id="2" name="Event_ID"/>
    <tableColumn id="3" name="Event_Name"/>
    <tableColumn id="4" name="Start_time"/>
    <tableColumn id="5" name="Completion_time"/>
    <tableColumn id="6" name="Email"/>
    <tableColumn id="7" name="Name"/>
    <tableColumn id="8" name="Will you attend in person or virtually?"/>
    <tableColumn id="9" name="How did you hear about this event?"/>
  </tableColumns>
</table>
</file>

<file path=xl/tables/table7.xml><?xml version="1.0" encoding="utf-8"?>
<table xmlns="http://schemas.openxmlformats.org/spreadsheetml/2006/main" id="7" name="tblTeamsExport" displayName="tblTeamsExport" ref="A1:K52" headerRowCount="1" totalsRowCount="0" totalsRowShown="0">
  <autoFilter ref="A1:K52"/>
  <tableColumns count="11">
    <tableColumn id="1" name="Snapshot_Date"/>
    <tableColumn id="2" name="TeamName"/>
    <tableColumn id="3" name="GroupId"/>
    <tableColumn id="4" name="Channel"/>
    <tableColumn id="5" name="Display_Name"/>
    <tableColumn id="6" name="User_Principal_Name"/>
    <tableColumn id="7" name="Email_Address"/>
    <tableColumn id="8" name="Role"/>
    <tableColumn id="9" name="User_Type"/>
    <tableColumn id="10" name="Worker_ID"/>
    <tableColumn id="11" name="ERG_ID"/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table" Target="../tables/table4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table" Target="../tables/table2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table" Target="../tables/table7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table" Target="../tables/table3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table" Target="../tables/table6.xm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table" Target="../tables/table5.xml"/>
</Relationships>
</file>

<file path=xl/worksheets/_rels/sheet9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C1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30"/>
    <col collapsed="false" customWidth="true" hidden="false" outlineLevel="0" max="3" min="3" style="0" width="95"/>
  </cols>
  <sheetData>
    <row r="2" customFormat="false" ht="18.55" hidden="false" customHeight="false" outlineLevel="0" collapsed="false">
      <c r="B2" s="1" t="s">
        <v>0</v>
      </c>
      <c r="C2" s="1"/>
    </row>
    <row r="4" customFormat="false" ht="51.75" hidden="false" customHeight="true" outlineLevel="0" collapsed="false">
      <c r="B4" s="2" t="s">
        <v>1</v>
      </c>
      <c r="C4" s="3" t="s">
        <v>2</v>
      </c>
    </row>
    <row r="5" customFormat="false" ht="51.75" hidden="false" customHeight="true" outlineLevel="0" collapsed="false">
      <c r="B5" s="2" t="s">
        <v>3</v>
      </c>
      <c r="C5" s="3" t="s">
        <v>4</v>
      </c>
    </row>
    <row r="6" customFormat="false" ht="51.75" hidden="false" customHeight="true" outlineLevel="0" collapsed="false">
      <c r="B6" s="2" t="s">
        <v>5</v>
      </c>
      <c r="C6" s="3" t="s">
        <v>6</v>
      </c>
    </row>
    <row r="7" customFormat="false" ht="51.75" hidden="false" customHeight="true" outlineLevel="0" collapsed="false">
      <c r="B7" s="2" t="s">
        <v>7</v>
      </c>
      <c r="C7" s="3" t="s">
        <v>8</v>
      </c>
    </row>
    <row r="8" customFormat="false" ht="51.75" hidden="false" customHeight="true" outlineLevel="0" collapsed="false">
      <c r="B8" s="2" t="s">
        <v>9</v>
      </c>
      <c r="C8" s="3" t="s">
        <v>10</v>
      </c>
    </row>
    <row r="9" customFormat="false" ht="51.75" hidden="false" customHeight="true" outlineLevel="0" collapsed="false">
      <c r="B9" s="2" t="s">
        <v>11</v>
      </c>
      <c r="C9" s="3" t="s">
        <v>12</v>
      </c>
    </row>
    <row r="11" customFormat="false" ht="15" hidden="false" customHeight="false" outlineLevel="0" collapsed="false">
      <c r="B11" s="4" t="s">
        <v>13</v>
      </c>
    </row>
    <row r="12" customFormat="false" ht="15" hidden="false" customHeight="false" outlineLevel="0" collapsed="false">
      <c r="B12" s="5" t="s">
        <v>14</v>
      </c>
      <c r="C12" s="5" t="s">
        <v>15</v>
      </c>
    </row>
    <row r="13" customFormat="false" ht="30" hidden="false" customHeight="true" outlineLevel="0" collapsed="false">
      <c r="B13" s="6" t="s">
        <v>16</v>
      </c>
      <c r="C13" s="6" t="s">
        <v>17</v>
      </c>
    </row>
    <row r="14" customFormat="false" ht="30" hidden="false" customHeight="true" outlineLevel="0" collapsed="false">
      <c r="B14" s="7" t="s">
        <v>18</v>
      </c>
      <c r="C14" s="7" t="s">
        <v>19</v>
      </c>
    </row>
    <row r="15" customFormat="false" ht="30" hidden="false" customHeight="true" outlineLevel="0" collapsed="false">
      <c r="B15" s="6" t="s">
        <v>20</v>
      </c>
      <c r="C15" s="6" t="s">
        <v>21</v>
      </c>
    </row>
    <row r="16" customFormat="false" ht="30" hidden="false" customHeight="true" outlineLevel="0" collapsed="false">
      <c r="B16" s="7" t="s">
        <v>22</v>
      </c>
      <c r="C16" s="7" t="s">
        <v>23</v>
      </c>
    </row>
    <row r="17" customFormat="false" ht="30" hidden="false" customHeight="true" outlineLevel="0" collapsed="false">
      <c r="B17" s="6" t="s">
        <v>24</v>
      </c>
      <c r="C17" s="6" t="s">
        <v>25</v>
      </c>
    </row>
    <row r="18" customFormat="false" ht="30" hidden="false" customHeight="true" outlineLevel="0" collapsed="false">
      <c r="B18" s="7" t="s">
        <v>26</v>
      </c>
      <c r="C18" s="7" t="s">
        <v>27</v>
      </c>
    </row>
    <row r="19" customFormat="false" ht="30" hidden="false" customHeight="true" outlineLevel="0" collapsed="false">
      <c r="B19" s="6" t="s">
        <v>28</v>
      </c>
      <c r="C19" s="6" t="s">
        <v>29</v>
      </c>
    </row>
  </sheetData>
  <mergeCells count="1">
    <mergeCell ref="B2:C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L23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20"/>
    <col collapsed="false" customWidth="true" hidden="false" outlineLevel="0" max="3" min="3" style="0" width="11"/>
    <col collapsed="false" customWidth="true" hidden="false" outlineLevel="0" max="4" min="4" style="0" width="2"/>
    <col collapsed="false" customWidth="true" hidden="false" outlineLevel="0" max="5" min="5" style="0" width="20"/>
    <col collapsed="false" customWidth="true" hidden="false" outlineLevel="0" max="6" min="6" style="0" width="11"/>
    <col collapsed="false" customWidth="true" hidden="false" outlineLevel="0" max="7" min="7" style="0" width="2"/>
    <col collapsed="false" customWidth="true" hidden="false" outlineLevel="0" max="8" min="8" style="0" width="20"/>
    <col collapsed="false" customWidth="true" hidden="false" outlineLevel="0" max="9" min="9" style="0" width="11"/>
    <col collapsed="false" customWidth="true" hidden="false" outlineLevel="0" max="10" min="10" style="0" width="2"/>
    <col collapsed="false" customWidth="true" hidden="false" outlineLevel="0" max="11" min="11" style="0" width="20"/>
    <col collapsed="false" customWidth="true" hidden="false" outlineLevel="0" max="12" min="12" style="0" width="11"/>
    <col collapsed="false" customWidth="true" hidden="false" outlineLevel="0" max="13" min="13" style="0" width="2"/>
  </cols>
  <sheetData>
    <row r="2" customFormat="false" ht="19.7" hidden="false" customHeight="false" outlineLevel="0" collapsed="false">
      <c r="B2" s="8" t="s">
        <v>30</v>
      </c>
      <c r="C2" s="8"/>
      <c r="D2" s="8"/>
      <c r="E2" s="8"/>
      <c r="F2" s="8"/>
      <c r="G2" s="8"/>
      <c r="H2" s="8"/>
      <c r="I2" s="8"/>
      <c r="J2" s="8"/>
      <c r="K2" s="8"/>
      <c r="L2" s="8"/>
    </row>
    <row r="3" customFormat="false" ht="15" hidden="false" customHeight="false" outlineLevel="0" collapsed="false">
      <c r="B3" s="9" t="s">
        <v>31</v>
      </c>
      <c r="C3" s="9"/>
      <c r="D3" s="9"/>
      <c r="E3" s="9"/>
      <c r="F3" s="9"/>
      <c r="G3" s="9"/>
      <c r="H3" s="9"/>
      <c r="I3" s="9"/>
      <c r="J3" s="9"/>
      <c r="K3" s="9"/>
      <c r="L3" s="9"/>
    </row>
    <row r="4" customFormat="false" ht="15" hidden="false" customHeight="false" outlineLevel="0" collapsed="false">
      <c r="B4" s="10" t="str">
        <f aca="false">"Latest membership snapshot: "&amp;TEXT(DATE(2026,7,1),"mmm yyyy")</f>
        <v>Latest membership snapshot: Jul 2026</v>
      </c>
      <c r="C4" s="10"/>
      <c r="D4" s="10"/>
      <c r="E4" s="10"/>
      <c r="F4" s="10"/>
      <c r="G4" s="10"/>
      <c r="H4" s="10"/>
      <c r="I4" s="10"/>
      <c r="J4" s="10"/>
      <c r="K4" s="10"/>
      <c r="L4" s="10"/>
    </row>
    <row r="6" customFormat="false" ht="19.5" hidden="false" customHeight="true" outlineLevel="0" collapsed="false">
      <c r="B6" s="11" t="s">
        <v>32</v>
      </c>
      <c r="C6" s="11"/>
      <c r="D6" s="11"/>
      <c r="E6" s="11"/>
      <c r="F6" s="11"/>
      <c r="G6" s="11"/>
      <c r="H6" s="11"/>
      <c r="I6" s="11"/>
      <c r="J6" s="11"/>
      <c r="K6" s="11"/>
      <c r="L6" s="11"/>
    </row>
    <row r="7" customFormat="false" ht="33.75" hidden="false" customHeight="true" outlineLevel="0" collapsed="false">
      <c r="B7" s="12" t="str">
        <f aca="false">ERGs!$B$2&amp;"   |   "&amp;ERGs!$B$3&amp;"   |   "&amp;ERGs!$B$4&amp;"   |   "&amp;ERGs!$B$5&amp;"   |   "&amp;ERGs!$B$6&amp;"   |   "&amp;ERGs!$B$7</f>
        <v>Women's Network   |   Pride Alliance   |   Black &amp; African Diaspora Network   |   Emerging Professionals Network   |   Accessibility &amp; Disability Inclusion Network   |   Global &amp; Multicultural Network</v>
      </c>
      <c r="C7" s="12"/>
      <c r="D7" s="12"/>
      <c r="E7" s="12"/>
      <c r="F7" s="12"/>
      <c r="G7" s="12"/>
      <c r="H7" s="12"/>
      <c r="I7" s="12"/>
      <c r="J7" s="12"/>
      <c r="K7" s="12"/>
      <c r="L7" s="12"/>
    </row>
    <row r="9" customFormat="false" ht="19.5" hidden="false" customHeight="true" outlineLevel="0" collapsed="false">
      <c r="B9" s="11" t="s">
        <v>33</v>
      </c>
      <c r="C9" s="11"/>
      <c r="D9" s="11"/>
      <c r="E9" s="11"/>
      <c r="F9" s="11"/>
      <c r="G9" s="11"/>
      <c r="H9" s="11"/>
      <c r="I9" s="11"/>
      <c r="J9" s="11"/>
      <c r="K9" s="11"/>
      <c r="L9" s="11"/>
    </row>
    <row r="10" customFormat="false" ht="15.75" hidden="false" customHeight="true" outlineLevel="0" collapsed="false">
      <c r="B10" s="13" t="s">
        <v>34</v>
      </c>
      <c r="C10" s="13"/>
      <c r="E10" s="13" t="s">
        <v>35</v>
      </c>
      <c r="F10" s="13"/>
      <c r="H10" s="13" t="s">
        <v>36</v>
      </c>
      <c r="I10" s="13"/>
      <c r="K10" s="13" t="s">
        <v>37</v>
      </c>
      <c r="L10" s="13"/>
    </row>
    <row r="11" customFormat="false" ht="30" hidden="false" customHeight="true" outlineLevel="0" collapsed="false">
      <c r="B11" s="14" t="n">
        <f aca="false">COUNTIF(Employees!$H$2:$H$500,"Active")</f>
        <v>20</v>
      </c>
      <c r="C11" s="14"/>
      <c r="E11" s="15" t="n">
        <f aca="false">Calc!$E$4</f>
        <v>7</v>
      </c>
      <c r="F11" s="15"/>
      <c r="H11" s="16" t="n">
        <f aca="false">Calc!$E$5</f>
        <v>13</v>
      </c>
      <c r="I11" s="16"/>
      <c r="K11" s="17" t="n">
        <f aca="false">IFERROR(Calc!$E$4/COUNTIF(Employees!$H$2:$H$500,"Active"),0)</f>
        <v>0.35</v>
      </c>
      <c r="L11" s="17"/>
    </row>
    <row r="13" customFormat="false" ht="19.5" hidden="false" customHeight="true" outlineLevel="0" collapsed="false">
      <c r="B13" s="11" t="s">
        <v>38</v>
      </c>
      <c r="C13" s="11"/>
      <c r="D13" s="11"/>
      <c r="E13" s="11"/>
      <c r="F13" s="11"/>
      <c r="G13" s="11"/>
      <c r="H13" s="11"/>
      <c r="I13" s="11"/>
      <c r="J13" s="11"/>
      <c r="K13" s="11"/>
      <c r="L13" s="11"/>
    </row>
    <row r="14" customFormat="false" ht="15.75" hidden="false" customHeight="true" outlineLevel="0" collapsed="false">
      <c r="B14" s="13" t="s">
        <v>39</v>
      </c>
      <c r="C14" s="13"/>
      <c r="E14" s="13" t="s">
        <v>40</v>
      </c>
      <c r="F14" s="13"/>
      <c r="H14" s="13" t="s">
        <v>41</v>
      </c>
      <c r="I14" s="13"/>
      <c r="K14" s="13" t="s">
        <v>42</v>
      </c>
      <c r="L14" s="13"/>
    </row>
    <row r="15" customFormat="false" ht="30" hidden="false" customHeight="true" outlineLevel="0" collapsed="false">
      <c r="B15" s="18" t="n">
        <f aca="false">SUM(ERG_Budget!$D$2:$D$100)</f>
        <v>13500</v>
      </c>
      <c r="C15" s="18"/>
      <c r="E15" s="19" t="n">
        <f aca="false">SUM(ERG_Budget!$E$2:$E$100)</f>
        <v>8459.71</v>
      </c>
      <c r="F15" s="19"/>
      <c r="H15" s="20" t="n">
        <f aca="false">IFERROR(SUM(ERG_Budget!$E$2:$E$100)/SUM(ERG_Budget!$D$2:$D$100),0)</f>
        <v>0.626645185185185</v>
      </c>
      <c r="I15" s="20"/>
      <c r="K15" s="21" t="n">
        <f aca="false">COUNTIF(ERG_Budget!$G$2:$G$100,"&gt;1")</f>
        <v>1</v>
      </c>
      <c r="L15" s="21"/>
    </row>
    <row r="17" customFormat="false" ht="19.5" hidden="false" customHeight="true" outlineLevel="0" collapsed="false">
      <c r="B17" s="11" t="s">
        <v>43</v>
      </c>
      <c r="C17" s="11"/>
      <c r="D17" s="11"/>
      <c r="E17" s="11"/>
      <c r="F17" s="11"/>
      <c r="G17" s="11"/>
      <c r="H17" s="11"/>
      <c r="I17" s="11"/>
      <c r="J17" s="11"/>
      <c r="K17" s="11"/>
      <c r="L17" s="11"/>
    </row>
    <row r="18" customFormat="false" ht="15.75" hidden="false" customHeight="true" outlineLevel="0" collapsed="false">
      <c r="B18" s="13" t="s">
        <v>44</v>
      </c>
      <c r="C18" s="13"/>
      <c r="E18" s="13" t="s">
        <v>45</v>
      </c>
      <c r="F18" s="13"/>
      <c r="H18" s="13" t="s">
        <v>46</v>
      </c>
      <c r="I18" s="13"/>
      <c r="K18" s="13" t="s">
        <v>47</v>
      </c>
      <c r="L18" s="13"/>
    </row>
    <row r="19" customFormat="false" ht="30" hidden="false" customHeight="true" outlineLevel="0" collapsed="false">
      <c r="B19" s="22" t="n">
        <f aca="false">COUNTA(ERG_Events!$A$2:$A$100)</f>
        <v>17</v>
      </c>
      <c r="C19" s="22"/>
      <c r="E19" s="15" t="n">
        <f aca="false">SUM(ERG_Events!$H$2:$H$100)</f>
        <v>78</v>
      </c>
      <c r="F19" s="15"/>
      <c r="H19" s="23" t="n">
        <f aca="false">IFERROR(AVERAGE(ERG_Events!$H$2:$H$100),0)</f>
        <v>4.58823529411765</v>
      </c>
      <c r="I19" s="23"/>
      <c r="K19" s="24" t="n">
        <f aca="false">SUM(ERG_Events!$I$2:$I$100)</f>
        <v>7131.68</v>
      </c>
      <c r="L19" s="24"/>
    </row>
    <row r="21" customFormat="false" ht="19.5" hidden="false" customHeight="true" outlineLevel="0" collapsed="false">
      <c r="B21" s="11" t="s">
        <v>48</v>
      </c>
      <c r="C21" s="11"/>
      <c r="D21" s="11"/>
      <c r="E21" s="11"/>
      <c r="F21" s="11"/>
      <c r="G21" s="11"/>
      <c r="H21" s="11"/>
      <c r="I21" s="11"/>
      <c r="J21" s="11"/>
      <c r="K21" s="11"/>
      <c r="L21" s="11"/>
    </row>
    <row r="22" customFormat="false" ht="15.75" hidden="false" customHeight="true" outlineLevel="0" collapsed="false">
      <c r="B22" s="13" t="s">
        <v>49</v>
      </c>
      <c r="C22" s="13"/>
      <c r="E22" s="13" t="s">
        <v>50</v>
      </c>
      <c r="F22" s="13"/>
      <c r="H22" s="13" t="s">
        <v>51</v>
      </c>
      <c r="I22" s="13"/>
      <c r="K22" s="13" t="s">
        <v>52</v>
      </c>
      <c r="L22" s="13"/>
    </row>
    <row r="23" customFormat="false" ht="30" hidden="false" customHeight="true" outlineLevel="0" collapsed="false">
      <c r="B23" s="15" t="n">
        <f aca="false">SUM(Calc!$B$14:$B$18)</f>
        <v>10</v>
      </c>
      <c r="C23" s="15"/>
      <c r="E23" s="21" t="n">
        <f aca="false">SUM(Calc!$C$14:$C$18)</f>
        <v>14</v>
      </c>
      <c r="F23" s="21"/>
      <c r="H23" s="25" t="n">
        <f aca="false">SUM(Calc!$B$14:$B$18)-SUM(Calc!$C$14:$C$18)</f>
        <v>-4</v>
      </c>
      <c r="I23" s="25"/>
      <c r="K23" s="26" t="n">
        <f aca="false">COUNTA(ERGs!$A$2:$A$100)</f>
        <v>6</v>
      </c>
      <c r="L23" s="26"/>
    </row>
  </sheetData>
  <mergeCells count="41">
    <mergeCell ref="B2:L2"/>
    <mergeCell ref="B3:L3"/>
    <mergeCell ref="B4:L4"/>
    <mergeCell ref="B6:L6"/>
    <mergeCell ref="B7:L7"/>
    <mergeCell ref="B9:L9"/>
    <mergeCell ref="B10:C10"/>
    <mergeCell ref="E10:F10"/>
    <mergeCell ref="H10:I10"/>
    <mergeCell ref="K10:L10"/>
    <mergeCell ref="B11:C11"/>
    <mergeCell ref="E11:F11"/>
    <mergeCell ref="H11:I11"/>
    <mergeCell ref="K11:L11"/>
    <mergeCell ref="B13:L13"/>
    <mergeCell ref="B14:C14"/>
    <mergeCell ref="E14:F14"/>
    <mergeCell ref="H14:I14"/>
    <mergeCell ref="K14:L14"/>
    <mergeCell ref="B15:C15"/>
    <mergeCell ref="E15:F15"/>
    <mergeCell ref="H15:I15"/>
    <mergeCell ref="K15:L15"/>
    <mergeCell ref="B17:L17"/>
    <mergeCell ref="B18:C18"/>
    <mergeCell ref="E18:F18"/>
    <mergeCell ref="H18:I18"/>
    <mergeCell ref="K18:L18"/>
    <mergeCell ref="B19:C19"/>
    <mergeCell ref="E19:F19"/>
    <mergeCell ref="H19:I19"/>
    <mergeCell ref="K19:L19"/>
    <mergeCell ref="B21:L21"/>
    <mergeCell ref="B22:C22"/>
    <mergeCell ref="E22:F22"/>
    <mergeCell ref="H22:I22"/>
    <mergeCell ref="K22:L22"/>
    <mergeCell ref="B23:C23"/>
    <mergeCell ref="E23:F23"/>
    <mergeCell ref="H23:I23"/>
    <mergeCell ref="K23:L2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32"/>
    <col collapsed="false" customWidth="true" hidden="false" outlineLevel="0" max="3" min="3" style="0" width="30"/>
    <col collapsed="false" customWidth="true" hidden="false" outlineLevel="0" max="4" min="4" style="0" width="10"/>
    <col collapsed="false" customWidth="true" hidden="false" outlineLevel="0" max="5" min="5" style="0" width="16"/>
    <col collapsed="false" customWidth="true" hidden="false" outlineLevel="0" max="7" min="6" style="0" width="22"/>
    <col collapsed="false" customWidth="true" hidden="false" outlineLevel="0" max="8" min="8" style="0" width="13"/>
    <col collapsed="false" customWidth="true" hidden="false" outlineLevel="0" max="9" min="9" style="0" width="9"/>
    <col collapsed="false" customWidth="true" hidden="false" outlineLevel="0" max="10" min="10" style="0" width="16"/>
  </cols>
  <sheetData>
    <row r="1" customFormat="false" ht="15" hidden="false" customHeight="false" outlineLevel="0" collapsed="false">
      <c r="A1" s="27" t="s">
        <v>53</v>
      </c>
      <c r="B1" s="27" t="s">
        <v>54</v>
      </c>
      <c r="C1" s="27" t="s">
        <v>55</v>
      </c>
      <c r="D1" s="27" t="s">
        <v>56</v>
      </c>
      <c r="E1" s="27" t="s">
        <v>57</v>
      </c>
      <c r="F1" s="27" t="s">
        <v>58</v>
      </c>
      <c r="G1" s="27" t="s">
        <v>59</v>
      </c>
      <c r="H1" s="27" t="s">
        <v>60</v>
      </c>
      <c r="I1" s="27" t="s">
        <v>61</v>
      </c>
      <c r="J1" s="28" t="s">
        <v>62</v>
      </c>
    </row>
    <row r="2" customFormat="false" ht="15" hidden="false" customHeight="false" outlineLevel="0" collapsed="false">
      <c r="A2" s="29" t="s">
        <v>63</v>
      </c>
      <c r="B2" s="29" t="s">
        <v>64</v>
      </c>
      <c r="C2" s="29" t="s">
        <v>65</v>
      </c>
      <c r="D2" s="29" t="s">
        <v>66</v>
      </c>
      <c r="E2" s="29" t="s">
        <v>67</v>
      </c>
      <c r="F2" s="29" t="s">
        <v>68</v>
      </c>
      <c r="G2" s="29" t="s">
        <v>69</v>
      </c>
      <c r="H2" s="30" t="n">
        <v>44621</v>
      </c>
      <c r="I2" s="29" t="s">
        <v>70</v>
      </c>
      <c r="J2" s="31" t="n">
        <f aca="false">COUNTIFS(Teams_Membership_Export!$K$2:$K$500,A2,Teams_Membership_Export!$A$2:$A$500,MAX(Teams_Membership_Export!$A$2:$A$500))</f>
        <v>2</v>
      </c>
    </row>
    <row r="3" customFormat="false" ht="15" hidden="false" customHeight="false" outlineLevel="0" collapsed="false">
      <c r="A3" s="32" t="s">
        <v>71</v>
      </c>
      <c r="B3" s="32" t="s">
        <v>72</v>
      </c>
      <c r="C3" s="32" t="s">
        <v>73</v>
      </c>
      <c r="D3" s="32" t="s">
        <v>66</v>
      </c>
      <c r="E3" s="32" t="s">
        <v>74</v>
      </c>
      <c r="F3" s="32" t="s">
        <v>75</v>
      </c>
      <c r="G3" s="32" t="s">
        <v>76</v>
      </c>
      <c r="H3" s="33" t="n">
        <v>44713</v>
      </c>
      <c r="I3" s="32" t="s">
        <v>70</v>
      </c>
      <c r="J3" s="34" t="n">
        <f aca="false">COUNTIFS(Teams_Membership_Export!$K$2:$K$500,A3,Teams_Membership_Export!$A$2:$A$500,MAX(Teams_Membership_Export!$A$2:$A$500))</f>
        <v>0</v>
      </c>
    </row>
    <row r="4" customFormat="false" ht="15" hidden="false" customHeight="false" outlineLevel="0" collapsed="false">
      <c r="A4" s="29" t="s">
        <v>77</v>
      </c>
      <c r="B4" s="29" t="s">
        <v>78</v>
      </c>
      <c r="C4" s="29" t="s">
        <v>79</v>
      </c>
      <c r="D4" s="29" t="s">
        <v>66</v>
      </c>
      <c r="E4" s="29" t="s">
        <v>80</v>
      </c>
      <c r="F4" s="29" t="s">
        <v>81</v>
      </c>
      <c r="G4" s="29" t="s">
        <v>82</v>
      </c>
      <c r="H4" s="30" t="n">
        <v>44501</v>
      </c>
      <c r="I4" s="29" t="s">
        <v>70</v>
      </c>
      <c r="J4" s="31" t="n">
        <f aca="false">COUNTIFS(Teams_Membership_Export!$K$2:$K$500,A4,Teams_Membership_Export!$A$2:$A$500,MAX(Teams_Membership_Export!$A$2:$A$500))</f>
        <v>1</v>
      </c>
    </row>
    <row r="5" customFormat="false" ht="15" hidden="false" customHeight="false" outlineLevel="0" collapsed="false">
      <c r="A5" s="32" t="s">
        <v>83</v>
      </c>
      <c r="B5" s="32" t="s">
        <v>84</v>
      </c>
      <c r="C5" s="32" t="s">
        <v>85</v>
      </c>
      <c r="D5" s="32" t="s">
        <v>66</v>
      </c>
      <c r="E5" s="32" t="s">
        <v>86</v>
      </c>
      <c r="F5" s="32" t="s">
        <v>87</v>
      </c>
      <c r="G5" s="32" t="s">
        <v>88</v>
      </c>
      <c r="H5" s="33" t="n">
        <v>44927</v>
      </c>
      <c r="I5" s="32" t="s">
        <v>70</v>
      </c>
      <c r="J5" s="34" t="n">
        <f aca="false">COUNTIFS(Teams_Membership_Export!$K$2:$K$500,A5,Teams_Membership_Export!$A$2:$A$500,MAX(Teams_Membership_Export!$A$2:$A$500))</f>
        <v>1</v>
      </c>
    </row>
    <row r="6" customFormat="false" ht="15" hidden="false" customHeight="false" outlineLevel="0" collapsed="false">
      <c r="A6" s="29" t="s">
        <v>89</v>
      </c>
      <c r="B6" s="29" t="s">
        <v>90</v>
      </c>
      <c r="C6" s="29" t="s">
        <v>91</v>
      </c>
      <c r="D6" s="29" t="s">
        <v>66</v>
      </c>
      <c r="E6" s="29" t="s">
        <v>92</v>
      </c>
      <c r="F6" s="29" t="s">
        <v>93</v>
      </c>
      <c r="G6" s="29" t="s">
        <v>94</v>
      </c>
      <c r="H6" s="30" t="n">
        <v>45170</v>
      </c>
      <c r="I6" s="29" t="s">
        <v>70</v>
      </c>
      <c r="J6" s="31" t="n">
        <f aca="false">COUNTIFS(Teams_Membership_Export!$K$2:$K$500,A6,Teams_Membership_Export!$A$2:$A$500,MAX(Teams_Membership_Export!$A$2:$A$500))</f>
        <v>1</v>
      </c>
    </row>
    <row r="7" customFormat="false" ht="15" hidden="false" customHeight="false" outlineLevel="0" collapsed="false">
      <c r="A7" s="32" t="s">
        <v>95</v>
      </c>
      <c r="B7" s="32" t="s">
        <v>96</v>
      </c>
      <c r="C7" s="32" t="s">
        <v>97</v>
      </c>
      <c r="D7" s="32" t="s">
        <v>66</v>
      </c>
      <c r="E7" s="32" t="s">
        <v>98</v>
      </c>
      <c r="F7" s="32" t="s">
        <v>99</v>
      </c>
      <c r="G7" s="32" t="s">
        <v>100</v>
      </c>
      <c r="H7" s="33" t="n">
        <v>44805</v>
      </c>
      <c r="I7" s="32" t="s">
        <v>70</v>
      </c>
      <c r="J7" s="34" t="n">
        <f aca="false">COUNTIFS(Teams_Membership_Export!$K$2:$K$500,A7,Teams_Membership_Export!$A$2:$A$500,MAX(Teams_Membership_Export!$A$2:$A$500))</f>
        <v>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18"/>
    <col collapsed="false" customWidth="true" hidden="false" outlineLevel="0" max="4" min="3" style="0" width="24"/>
    <col collapsed="false" customWidth="true" hidden="false" outlineLevel="0" max="5" min="5" style="0" width="26"/>
    <col collapsed="false" customWidth="true" hidden="false" outlineLevel="0" max="6" min="6" style="0" width="12"/>
    <col collapsed="false" customWidth="true" hidden="false" outlineLevel="0" max="7" min="7" style="0" width="15"/>
    <col collapsed="false" customWidth="true" hidden="false" outlineLevel="0" max="8" min="8" style="0" width="12"/>
  </cols>
  <sheetData>
    <row r="1" customFormat="false" ht="15" hidden="false" customHeight="false" outlineLevel="0" collapsed="false">
      <c r="A1" s="35" t="s">
        <v>101</v>
      </c>
      <c r="B1" s="35" t="s">
        <v>102</v>
      </c>
      <c r="C1" s="35" t="s">
        <v>103</v>
      </c>
      <c r="D1" s="35" t="s">
        <v>104</v>
      </c>
      <c r="E1" s="35" t="s">
        <v>105</v>
      </c>
      <c r="F1" s="35" t="s">
        <v>106</v>
      </c>
      <c r="G1" s="35" t="s">
        <v>107</v>
      </c>
      <c r="H1" s="35" t="s">
        <v>108</v>
      </c>
    </row>
    <row r="2" customFormat="false" ht="15" hidden="false" customHeight="false" outlineLevel="0" collapsed="false">
      <c r="A2" s="29" t="s">
        <v>109</v>
      </c>
      <c r="B2" s="29" t="s">
        <v>110</v>
      </c>
      <c r="C2" s="29" t="s">
        <v>111</v>
      </c>
      <c r="D2" s="29" t="s">
        <v>112</v>
      </c>
      <c r="E2" s="29" t="s">
        <v>113</v>
      </c>
      <c r="F2" s="30" t="n">
        <v>43465</v>
      </c>
      <c r="G2" s="29"/>
      <c r="H2" s="29" t="s">
        <v>70</v>
      </c>
    </row>
    <row r="3" customFormat="false" ht="15" hidden="false" customHeight="false" outlineLevel="0" collapsed="false">
      <c r="A3" s="32" t="s">
        <v>114</v>
      </c>
      <c r="B3" s="32" t="s">
        <v>115</v>
      </c>
      <c r="C3" s="32" t="s">
        <v>116</v>
      </c>
      <c r="D3" s="32" t="s">
        <v>112</v>
      </c>
      <c r="E3" s="32" t="s">
        <v>117</v>
      </c>
      <c r="F3" s="33" t="n">
        <v>44771</v>
      </c>
      <c r="G3" s="32"/>
      <c r="H3" s="32" t="s">
        <v>70</v>
      </c>
    </row>
    <row r="4" customFormat="false" ht="15" hidden="false" customHeight="false" outlineLevel="0" collapsed="false">
      <c r="A4" s="29" t="s">
        <v>118</v>
      </c>
      <c r="B4" s="29" t="s">
        <v>119</v>
      </c>
      <c r="C4" s="29" t="s">
        <v>120</v>
      </c>
      <c r="D4" s="29" t="s">
        <v>112</v>
      </c>
      <c r="E4" s="29" t="s">
        <v>121</v>
      </c>
      <c r="F4" s="30" t="n">
        <v>44506</v>
      </c>
      <c r="G4" s="30" t="n">
        <v>46170</v>
      </c>
      <c r="H4" s="29" t="s">
        <v>122</v>
      </c>
    </row>
    <row r="5" customFormat="false" ht="15" hidden="false" customHeight="false" outlineLevel="0" collapsed="false">
      <c r="A5" s="32" t="s">
        <v>123</v>
      </c>
      <c r="B5" s="32" t="s">
        <v>124</v>
      </c>
      <c r="C5" s="32" t="s">
        <v>125</v>
      </c>
      <c r="D5" s="32" t="s">
        <v>112</v>
      </c>
      <c r="E5" s="32" t="s">
        <v>126</v>
      </c>
      <c r="F5" s="33" t="n">
        <v>46095</v>
      </c>
      <c r="G5" s="32"/>
      <c r="H5" s="32" t="s">
        <v>70</v>
      </c>
    </row>
    <row r="6" customFormat="false" ht="15" hidden="false" customHeight="false" outlineLevel="0" collapsed="false">
      <c r="A6" s="29" t="s">
        <v>127</v>
      </c>
      <c r="B6" s="29" t="s">
        <v>128</v>
      </c>
      <c r="C6" s="29" t="s">
        <v>129</v>
      </c>
      <c r="D6" s="29" t="s">
        <v>112</v>
      </c>
      <c r="E6" s="29" t="s">
        <v>130</v>
      </c>
      <c r="F6" s="30" t="n">
        <v>44756</v>
      </c>
      <c r="G6" s="29"/>
      <c r="H6" s="29" t="s">
        <v>70</v>
      </c>
    </row>
    <row r="7" customFormat="false" ht="15" hidden="false" customHeight="false" outlineLevel="0" collapsed="false">
      <c r="A7" s="32" t="s">
        <v>131</v>
      </c>
      <c r="B7" s="32" t="s">
        <v>132</v>
      </c>
      <c r="C7" s="32" t="s">
        <v>133</v>
      </c>
      <c r="D7" s="32" t="s">
        <v>112</v>
      </c>
      <c r="E7" s="32" t="s">
        <v>134</v>
      </c>
      <c r="F7" s="33" t="n">
        <v>44896</v>
      </c>
      <c r="G7" s="32"/>
      <c r="H7" s="32" t="s">
        <v>70</v>
      </c>
    </row>
    <row r="8" customFormat="false" ht="15" hidden="false" customHeight="false" outlineLevel="0" collapsed="false">
      <c r="A8" s="29" t="s">
        <v>135</v>
      </c>
      <c r="B8" s="29" t="s">
        <v>136</v>
      </c>
      <c r="C8" s="29" t="s">
        <v>81</v>
      </c>
      <c r="D8" s="29" t="s">
        <v>137</v>
      </c>
      <c r="E8" s="29" t="s">
        <v>138</v>
      </c>
      <c r="F8" s="30" t="n">
        <v>43538</v>
      </c>
      <c r="G8" s="29"/>
      <c r="H8" s="29" t="s">
        <v>70</v>
      </c>
    </row>
    <row r="9" customFormat="false" ht="15" hidden="false" customHeight="false" outlineLevel="0" collapsed="false">
      <c r="A9" s="32" t="s">
        <v>139</v>
      </c>
      <c r="B9" s="32" t="s">
        <v>140</v>
      </c>
      <c r="C9" s="32" t="s">
        <v>141</v>
      </c>
      <c r="D9" s="32" t="s">
        <v>137</v>
      </c>
      <c r="E9" s="32" t="s">
        <v>142</v>
      </c>
      <c r="F9" s="33" t="n">
        <v>45260</v>
      </c>
      <c r="G9" s="32"/>
      <c r="H9" s="32" t="s">
        <v>70</v>
      </c>
    </row>
    <row r="10" customFormat="false" ht="15" hidden="false" customHeight="false" outlineLevel="0" collapsed="false">
      <c r="A10" s="29" t="s">
        <v>143</v>
      </c>
      <c r="B10" s="29" t="s">
        <v>144</v>
      </c>
      <c r="C10" s="29" t="s">
        <v>145</v>
      </c>
      <c r="D10" s="29" t="s">
        <v>137</v>
      </c>
      <c r="E10" s="29" t="s">
        <v>146</v>
      </c>
      <c r="F10" s="30" t="n">
        <v>44901</v>
      </c>
      <c r="G10" s="29"/>
      <c r="H10" s="29" t="s">
        <v>70</v>
      </c>
    </row>
    <row r="11" customFormat="false" ht="15" hidden="false" customHeight="false" outlineLevel="0" collapsed="false">
      <c r="A11" s="32" t="s">
        <v>147</v>
      </c>
      <c r="B11" s="32" t="s">
        <v>148</v>
      </c>
      <c r="C11" s="32" t="s">
        <v>149</v>
      </c>
      <c r="D11" s="32" t="s">
        <v>137</v>
      </c>
      <c r="E11" s="32" t="s">
        <v>150</v>
      </c>
      <c r="F11" s="33" t="n">
        <v>45485</v>
      </c>
      <c r="G11" s="32"/>
      <c r="H11" s="32" t="s">
        <v>70</v>
      </c>
    </row>
    <row r="12" customFormat="false" ht="15" hidden="false" customHeight="false" outlineLevel="0" collapsed="false">
      <c r="A12" s="29" t="s">
        <v>151</v>
      </c>
      <c r="B12" s="29" t="s">
        <v>152</v>
      </c>
      <c r="C12" s="29" t="s">
        <v>75</v>
      </c>
      <c r="D12" s="29" t="s">
        <v>153</v>
      </c>
      <c r="E12" s="29" t="s">
        <v>154</v>
      </c>
      <c r="F12" s="30" t="n">
        <v>44247</v>
      </c>
      <c r="G12" s="30" t="n">
        <v>46042</v>
      </c>
      <c r="H12" s="29" t="s">
        <v>122</v>
      </c>
    </row>
    <row r="13" customFormat="false" ht="15" hidden="false" customHeight="false" outlineLevel="0" collapsed="false">
      <c r="A13" s="32" t="s">
        <v>155</v>
      </c>
      <c r="B13" s="32" t="s">
        <v>156</v>
      </c>
      <c r="C13" s="32" t="s">
        <v>157</v>
      </c>
      <c r="D13" s="32" t="s">
        <v>153</v>
      </c>
      <c r="E13" s="32" t="s">
        <v>158</v>
      </c>
      <c r="F13" s="33" t="n">
        <v>45211</v>
      </c>
      <c r="G13" s="32"/>
      <c r="H13" s="32" t="s">
        <v>70</v>
      </c>
    </row>
    <row r="14" customFormat="false" ht="15" hidden="false" customHeight="false" outlineLevel="0" collapsed="false">
      <c r="A14" s="29" t="s">
        <v>159</v>
      </c>
      <c r="B14" s="29" t="s">
        <v>160</v>
      </c>
      <c r="C14" s="29" t="s">
        <v>161</v>
      </c>
      <c r="D14" s="29" t="s">
        <v>153</v>
      </c>
      <c r="E14" s="29" t="s">
        <v>162</v>
      </c>
      <c r="F14" s="30" t="n">
        <v>45637</v>
      </c>
      <c r="G14" s="30" t="n">
        <v>46095</v>
      </c>
      <c r="H14" s="29" t="s">
        <v>122</v>
      </c>
    </row>
    <row r="15" customFormat="false" ht="15" hidden="false" customHeight="false" outlineLevel="0" collapsed="false">
      <c r="A15" s="32" t="s">
        <v>163</v>
      </c>
      <c r="B15" s="32" t="s">
        <v>164</v>
      </c>
      <c r="C15" s="32" t="s">
        <v>68</v>
      </c>
      <c r="D15" s="32" t="s">
        <v>165</v>
      </c>
      <c r="E15" s="32" t="s">
        <v>166</v>
      </c>
      <c r="F15" s="33" t="n">
        <v>43140</v>
      </c>
      <c r="G15" s="32"/>
      <c r="H15" s="32" t="s">
        <v>70</v>
      </c>
    </row>
    <row r="16" customFormat="false" ht="15" hidden="false" customHeight="false" outlineLevel="0" collapsed="false">
      <c r="A16" s="29" t="s">
        <v>167</v>
      </c>
      <c r="B16" s="29" t="s">
        <v>168</v>
      </c>
      <c r="C16" s="29" t="s">
        <v>169</v>
      </c>
      <c r="D16" s="29" t="s">
        <v>165</v>
      </c>
      <c r="E16" s="29" t="s">
        <v>170</v>
      </c>
      <c r="F16" s="30" t="n">
        <v>46029</v>
      </c>
      <c r="G16" s="29"/>
      <c r="H16" s="29" t="s">
        <v>70</v>
      </c>
    </row>
    <row r="17" customFormat="false" ht="15" hidden="false" customHeight="false" outlineLevel="0" collapsed="false">
      <c r="A17" s="32" t="s">
        <v>171</v>
      </c>
      <c r="B17" s="32" t="s">
        <v>172</v>
      </c>
      <c r="C17" s="32" t="s">
        <v>87</v>
      </c>
      <c r="D17" s="32" t="s">
        <v>165</v>
      </c>
      <c r="E17" s="32" t="s">
        <v>173</v>
      </c>
      <c r="F17" s="33" t="n">
        <v>44706</v>
      </c>
      <c r="G17" s="33" t="n">
        <v>45913</v>
      </c>
      <c r="H17" s="32" t="s">
        <v>122</v>
      </c>
    </row>
    <row r="18" customFormat="false" ht="15" hidden="false" customHeight="false" outlineLevel="0" collapsed="false">
      <c r="A18" s="29" t="s">
        <v>174</v>
      </c>
      <c r="B18" s="29" t="s">
        <v>175</v>
      </c>
      <c r="C18" s="29" t="s">
        <v>176</v>
      </c>
      <c r="D18" s="29" t="s">
        <v>165</v>
      </c>
      <c r="E18" s="29" t="s">
        <v>177</v>
      </c>
      <c r="F18" s="30" t="n">
        <v>44632</v>
      </c>
      <c r="G18" s="29"/>
      <c r="H18" s="29" t="s">
        <v>70</v>
      </c>
    </row>
    <row r="19" customFormat="false" ht="15" hidden="false" customHeight="false" outlineLevel="0" collapsed="false">
      <c r="A19" s="32" t="s">
        <v>178</v>
      </c>
      <c r="B19" s="32" t="s">
        <v>179</v>
      </c>
      <c r="C19" s="32" t="s">
        <v>180</v>
      </c>
      <c r="D19" s="32" t="s">
        <v>181</v>
      </c>
      <c r="E19" s="32" t="s">
        <v>182</v>
      </c>
      <c r="F19" s="33" t="n">
        <v>43470</v>
      </c>
      <c r="G19" s="32"/>
      <c r="H19" s="32" t="s">
        <v>70</v>
      </c>
    </row>
    <row r="20" customFormat="false" ht="15" hidden="false" customHeight="false" outlineLevel="0" collapsed="false">
      <c r="A20" s="29" t="s">
        <v>183</v>
      </c>
      <c r="B20" s="29" t="s">
        <v>184</v>
      </c>
      <c r="C20" s="29" t="s">
        <v>93</v>
      </c>
      <c r="D20" s="29" t="s">
        <v>181</v>
      </c>
      <c r="E20" s="29" t="s">
        <v>185</v>
      </c>
      <c r="F20" s="30" t="n">
        <v>44975</v>
      </c>
      <c r="G20" s="29"/>
      <c r="H20" s="29" t="s">
        <v>70</v>
      </c>
    </row>
    <row r="21" customFormat="false" ht="15" hidden="false" customHeight="false" outlineLevel="0" collapsed="false">
      <c r="A21" s="32" t="s">
        <v>186</v>
      </c>
      <c r="B21" s="32" t="s">
        <v>187</v>
      </c>
      <c r="C21" s="32" t="s">
        <v>188</v>
      </c>
      <c r="D21" s="32" t="s">
        <v>181</v>
      </c>
      <c r="E21" s="32" t="s">
        <v>189</v>
      </c>
      <c r="F21" s="33" t="n">
        <v>44509</v>
      </c>
      <c r="G21" s="32"/>
      <c r="H21" s="32" t="s">
        <v>70</v>
      </c>
    </row>
    <row r="22" customFormat="false" ht="15" hidden="false" customHeight="false" outlineLevel="0" collapsed="false">
      <c r="A22" s="29" t="s">
        <v>190</v>
      </c>
      <c r="B22" s="29" t="s">
        <v>191</v>
      </c>
      <c r="C22" s="29" t="s">
        <v>192</v>
      </c>
      <c r="D22" s="29" t="s">
        <v>181</v>
      </c>
      <c r="E22" s="29" t="s">
        <v>193</v>
      </c>
      <c r="F22" s="30" t="n">
        <v>45038</v>
      </c>
      <c r="G22" s="29"/>
      <c r="H22" s="29" t="s">
        <v>70</v>
      </c>
    </row>
    <row r="23" customFormat="false" ht="15" hidden="false" customHeight="false" outlineLevel="0" collapsed="false">
      <c r="A23" s="32" t="s">
        <v>194</v>
      </c>
      <c r="B23" s="32" t="s">
        <v>195</v>
      </c>
      <c r="C23" s="32" t="s">
        <v>99</v>
      </c>
      <c r="D23" s="32" t="s">
        <v>196</v>
      </c>
      <c r="E23" s="32" t="s">
        <v>197</v>
      </c>
      <c r="F23" s="33" t="n">
        <v>44890</v>
      </c>
      <c r="G23" s="32"/>
      <c r="H23" s="32" t="s">
        <v>70</v>
      </c>
    </row>
    <row r="24" customFormat="false" ht="15" hidden="false" customHeight="false" outlineLevel="0" collapsed="false">
      <c r="A24" s="29" t="s">
        <v>198</v>
      </c>
      <c r="B24" s="29" t="s">
        <v>199</v>
      </c>
      <c r="C24" s="29" t="s">
        <v>200</v>
      </c>
      <c r="D24" s="29" t="s">
        <v>196</v>
      </c>
      <c r="E24" s="29" t="s">
        <v>201</v>
      </c>
      <c r="F24" s="30" t="n">
        <v>44529</v>
      </c>
      <c r="G24" s="29"/>
      <c r="H24" s="29" t="s">
        <v>70</v>
      </c>
    </row>
    <row r="25" customFormat="false" ht="15" hidden="false" customHeight="false" outlineLevel="0" collapsed="false">
      <c r="A25" s="32" t="s">
        <v>202</v>
      </c>
      <c r="B25" s="32" t="s">
        <v>203</v>
      </c>
      <c r="C25" s="32" t="s">
        <v>204</v>
      </c>
      <c r="D25" s="32" t="s">
        <v>196</v>
      </c>
      <c r="E25" s="32" t="s">
        <v>205</v>
      </c>
      <c r="F25" s="33" t="n">
        <v>44674</v>
      </c>
      <c r="G25" s="32"/>
      <c r="H25" s="32" t="s">
        <v>70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5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30"/>
    <col collapsed="false" customWidth="true" hidden="false" outlineLevel="0" max="3" min="3" style="0" width="16"/>
    <col collapsed="false" customWidth="true" hidden="false" outlineLevel="0" max="4" min="4" style="0" width="10"/>
    <col collapsed="false" customWidth="true" hidden="false" outlineLevel="0" max="5" min="5" style="0" width="18"/>
    <col collapsed="false" customWidth="true" hidden="false" outlineLevel="0" max="7" min="6" style="0" width="26"/>
    <col collapsed="false" customWidth="true" hidden="false" outlineLevel="0" max="8" min="8" style="0" width="9"/>
    <col collapsed="false" customWidth="true" hidden="false" outlineLevel="0" max="10" min="9" style="0" width="11"/>
    <col collapsed="false" customWidth="true" hidden="false" outlineLevel="0" max="11" min="11" style="0" width="8"/>
  </cols>
  <sheetData>
    <row r="1" customFormat="false" ht="15" hidden="false" customHeight="false" outlineLevel="0" collapsed="false">
      <c r="A1" s="35" t="s">
        <v>206</v>
      </c>
      <c r="B1" s="35" t="s">
        <v>207</v>
      </c>
      <c r="C1" s="35" t="s">
        <v>57</v>
      </c>
      <c r="D1" s="35" t="s">
        <v>56</v>
      </c>
      <c r="E1" s="35" t="s">
        <v>208</v>
      </c>
      <c r="F1" s="35" t="s">
        <v>209</v>
      </c>
      <c r="G1" s="35" t="s">
        <v>105</v>
      </c>
      <c r="H1" s="35" t="s">
        <v>210</v>
      </c>
      <c r="I1" s="35" t="s">
        <v>211</v>
      </c>
      <c r="J1" s="35" t="s">
        <v>101</v>
      </c>
      <c r="K1" s="35" t="s">
        <v>53</v>
      </c>
    </row>
    <row r="2" customFormat="false" ht="15" hidden="false" customHeight="false" outlineLevel="0" collapsed="false">
      <c r="A2" s="30" t="n">
        <v>46054</v>
      </c>
      <c r="B2" s="29" t="s">
        <v>65</v>
      </c>
      <c r="C2" s="29" t="s">
        <v>67</v>
      </c>
      <c r="D2" s="29" t="s">
        <v>66</v>
      </c>
      <c r="E2" s="29" t="s">
        <v>203</v>
      </c>
      <c r="F2" s="29" t="s">
        <v>205</v>
      </c>
      <c r="G2" s="29" t="s">
        <v>205</v>
      </c>
      <c r="H2" s="29" t="s">
        <v>212</v>
      </c>
      <c r="I2" s="29" t="s">
        <v>212</v>
      </c>
      <c r="J2" s="29" t="s">
        <v>202</v>
      </c>
      <c r="K2" s="29" t="s">
        <v>63</v>
      </c>
    </row>
    <row r="3" customFormat="false" ht="15" hidden="false" customHeight="false" outlineLevel="0" collapsed="false">
      <c r="A3" s="33" t="n">
        <v>46054</v>
      </c>
      <c r="B3" s="32" t="s">
        <v>65</v>
      </c>
      <c r="C3" s="32" t="s">
        <v>67</v>
      </c>
      <c r="D3" s="32" t="s">
        <v>66</v>
      </c>
      <c r="E3" s="32" t="s">
        <v>148</v>
      </c>
      <c r="F3" s="32" t="s">
        <v>150</v>
      </c>
      <c r="G3" s="32" t="s">
        <v>150</v>
      </c>
      <c r="H3" s="32" t="s">
        <v>213</v>
      </c>
      <c r="I3" s="32" t="s">
        <v>212</v>
      </c>
      <c r="J3" s="32" t="s">
        <v>147</v>
      </c>
      <c r="K3" s="32" t="s">
        <v>63</v>
      </c>
    </row>
    <row r="4" customFormat="false" ht="15" hidden="false" customHeight="false" outlineLevel="0" collapsed="false">
      <c r="A4" s="30" t="n">
        <v>46054</v>
      </c>
      <c r="B4" s="29" t="s">
        <v>65</v>
      </c>
      <c r="C4" s="29" t="s">
        <v>67</v>
      </c>
      <c r="D4" s="29" t="s">
        <v>66</v>
      </c>
      <c r="E4" s="29" t="s">
        <v>136</v>
      </c>
      <c r="F4" s="29" t="s">
        <v>138</v>
      </c>
      <c r="G4" s="29" t="s">
        <v>138</v>
      </c>
      <c r="H4" s="29" t="s">
        <v>212</v>
      </c>
      <c r="I4" s="29" t="s">
        <v>212</v>
      </c>
      <c r="J4" s="29" t="s">
        <v>135</v>
      </c>
      <c r="K4" s="29" t="s">
        <v>63</v>
      </c>
    </row>
    <row r="5" customFormat="false" ht="15" hidden="false" customHeight="false" outlineLevel="0" collapsed="false">
      <c r="A5" s="33" t="n">
        <v>46054</v>
      </c>
      <c r="B5" s="32" t="s">
        <v>73</v>
      </c>
      <c r="C5" s="32" t="s">
        <v>74</v>
      </c>
      <c r="D5" s="32" t="s">
        <v>66</v>
      </c>
      <c r="E5" s="32" t="s">
        <v>140</v>
      </c>
      <c r="F5" s="32" t="s">
        <v>142</v>
      </c>
      <c r="G5" s="32" t="s">
        <v>142</v>
      </c>
      <c r="H5" s="32" t="s">
        <v>212</v>
      </c>
      <c r="I5" s="32" t="s">
        <v>212</v>
      </c>
      <c r="J5" s="32" t="s">
        <v>139</v>
      </c>
      <c r="K5" s="32" t="s">
        <v>71</v>
      </c>
    </row>
    <row r="6" customFormat="false" ht="15" hidden="false" customHeight="false" outlineLevel="0" collapsed="false">
      <c r="A6" s="30" t="n">
        <v>46054</v>
      </c>
      <c r="B6" s="29" t="s">
        <v>79</v>
      </c>
      <c r="C6" s="29" t="s">
        <v>80</v>
      </c>
      <c r="D6" s="29" t="s">
        <v>66</v>
      </c>
      <c r="E6" s="29" t="s">
        <v>191</v>
      </c>
      <c r="F6" s="29" t="s">
        <v>193</v>
      </c>
      <c r="G6" s="29" t="s">
        <v>193</v>
      </c>
      <c r="H6" s="29" t="s">
        <v>212</v>
      </c>
      <c r="I6" s="29" t="s">
        <v>212</v>
      </c>
      <c r="J6" s="29" t="s">
        <v>190</v>
      </c>
      <c r="K6" s="29" t="s">
        <v>77</v>
      </c>
    </row>
    <row r="7" customFormat="false" ht="15" hidden="false" customHeight="false" outlineLevel="0" collapsed="false">
      <c r="A7" s="33" t="n">
        <v>46054</v>
      </c>
      <c r="B7" s="32" t="s">
        <v>85</v>
      </c>
      <c r="C7" s="32" t="s">
        <v>86</v>
      </c>
      <c r="D7" s="32" t="s">
        <v>66</v>
      </c>
      <c r="E7" s="32" t="s">
        <v>132</v>
      </c>
      <c r="F7" s="32" t="s">
        <v>134</v>
      </c>
      <c r="G7" s="32" t="s">
        <v>134</v>
      </c>
      <c r="H7" s="32" t="s">
        <v>212</v>
      </c>
      <c r="I7" s="32" t="s">
        <v>212</v>
      </c>
      <c r="J7" s="32" t="s">
        <v>131</v>
      </c>
      <c r="K7" s="32" t="s">
        <v>83</v>
      </c>
    </row>
    <row r="8" customFormat="false" ht="15" hidden="false" customHeight="false" outlineLevel="0" collapsed="false">
      <c r="A8" s="30" t="n">
        <v>46054</v>
      </c>
      <c r="B8" s="29" t="s">
        <v>85</v>
      </c>
      <c r="C8" s="29" t="s">
        <v>86</v>
      </c>
      <c r="D8" s="29" t="s">
        <v>66</v>
      </c>
      <c r="E8" s="29" t="s">
        <v>115</v>
      </c>
      <c r="F8" s="29" t="s">
        <v>117</v>
      </c>
      <c r="G8" s="29" t="s">
        <v>117</v>
      </c>
      <c r="H8" s="29" t="s">
        <v>212</v>
      </c>
      <c r="I8" s="29" t="s">
        <v>212</v>
      </c>
      <c r="J8" s="29" t="s">
        <v>114</v>
      </c>
      <c r="K8" s="29" t="s">
        <v>83</v>
      </c>
    </row>
    <row r="9" customFormat="false" ht="15" hidden="false" customHeight="false" outlineLevel="0" collapsed="false">
      <c r="A9" s="33" t="n">
        <v>46054</v>
      </c>
      <c r="B9" s="32" t="s">
        <v>85</v>
      </c>
      <c r="C9" s="32" t="s">
        <v>86</v>
      </c>
      <c r="D9" s="32" t="s">
        <v>66</v>
      </c>
      <c r="E9" s="32" t="s">
        <v>136</v>
      </c>
      <c r="F9" s="32" t="s">
        <v>138</v>
      </c>
      <c r="G9" s="32" t="s">
        <v>138</v>
      </c>
      <c r="H9" s="32" t="s">
        <v>212</v>
      </c>
      <c r="I9" s="32" t="s">
        <v>212</v>
      </c>
      <c r="J9" s="32" t="s">
        <v>135</v>
      </c>
      <c r="K9" s="32" t="s">
        <v>83</v>
      </c>
    </row>
    <row r="10" customFormat="false" ht="15" hidden="false" customHeight="false" outlineLevel="0" collapsed="false">
      <c r="A10" s="30" t="n">
        <v>46054</v>
      </c>
      <c r="B10" s="29" t="s">
        <v>91</v>
      </c>
      <c r="C10" s="29" t="s">
        <v>92</v>
      </c>
      <c r="D10" s="29" t="s">
        <v>66</v>
      </c>
      <c r="E10" s="29" t="s">
        <v>187</v>
      </c>
      <c r="F10" s="29" t="s">
        <v>189</v>
      </c>
      <c r="G10" s="29" t="s">
        <v>189</v>
      </c>
      <c r="H10" s="29" t="s">
        <v>212</v>
      </c>
      <c r="I10" s="29" t="s">
        <v>212</v>
      </c>
      <c r="J10" s="29" t="s">
        <v>186</v>
      </c>
      <c r="K10" s="29" t="s">
        <v>89</v>
      </c>
    </row>
    <row r="11" customFormat="false" ht="15" hidden="false" customHeight="false" outlineLevel="0" collapsed="false">
      <c r="A11" s="33" t="n">
        <v>46054</v>
      </c>
      <c r="B11" s="32" t="s">
        <v>97</v>
      </c>
      <c r="C11" s="32" t="s">
        <v>98</v>
      </c>
      <c r="D11" s="32" t="s">
        <v>66</v>
      </c>
      <c r="E11" s="32" t="s">
        <v>144</v>
      </c>
      <c r="F11" s="32" t="s">
        <v>146</v>
      </c>
      <c r="G11" s="32" t="s">
        <v>146</v>
      </c>
      <c r="H11" s="32" t="s">
        <v>212</v>
      </c>
      <c r="I11" s="32" t="s">
        <v>212</v>
      </c>
      <c r="J11" s="32" t="s">
        <v>143</v>
      </c>
      <c r="K11" s="32" t="s">
        <v>95</v>
      </c>
    </row>
    <row r="12" customFormat="false" ht="15" hidden="false" customHeight="false" outlineLevel="0" collapsed="false">
      <c r="A12" s="30" t="n">
        <v>46054</v>
      </c>
      <c r="B12" s="29" t="s">
        <v>97</v>
      </c>
      <c r="C12" s="29" t="s">
        <v>98</v>
      </c>
      <c r="D12" s="29" t="s">
        <v>66</v>
      </c>
      <c r="E12" s="29" t="s">
        <v>203</v>
      </c>
      <c r="F12" s="29" t="s">
        <v>205</v>
      </c>
      <c r="G12" s="29" t="s">
        <v>205</v>
      </c>
      <c r="H12" s="29" t="s">
        <v>212</v>
      </c>
      <c r="I12" s="29" t="s">
        <v>212</v>
      </c>
      <c r="J12" s="29" t="s">
        <v>202</v>
      </c>
      <c r="K12" s="29" t="s">
        <v>95</v>
      </c>
    </row>
    <row r="13" customFormat="false" ht="15" hidden="false" customHeight="false" outlineLevel="0" collapsed="false">
      <c r="A13" s="33" t="n">
        <v>46082</v>
      </c>
      <c r="B13" s="32" t="s">
        <v>65</v>
      </c>
      <c r="C13" s="32" t="s">
        <v>67</v>
      </c>
      <c r="D13" s="32" t="s">
        <v>66</v>
      </c>
      <c r="E13" s="32" t="s">
        <v>203</v>
      </c>
      <c r="F13" s="32" t="s">
        <v>205</v>
      </c>
      <c r="G13" s="32" t="s">
        <v>205</v>
      </c>
      <c r="H13" s="32" t="s">
        <v>212</v>
      </c>
      <c r="I13" s="32" t="s">
        <v>212</v>
      </c>
      <c r="J13" s="32" t="s">
        <v>202</v>
      </c>
      <c r="K13" s="32" t="s">
        <v>63</v>
      </c>
    </row>
    <row r="14" customFormat="false" ht="15" hidden="false" customHeight="false" outlineLevel="0" collapsed="false">
      <c r="A14" s="30" t="n">
        <v>46082</v>
      </c>
      <c r="B14" s="29" t="s">
        <v>65</v>
      </c>
      <c r="C14" s="29" t="s">
        <v>67</v>
      </c>
      <c r="D14" s="29" t="s">
        <v>66</v>
      </c>
      <c r="E14" s="29" t="s">
        <v>148</v>
      </c>
      <c r="F14" s="29" t="s">
        <v>150</v>
      </c>
      <c r="G14" s="29" t="s">
        <v>150</v>
      </c>
      <c r="H14" s="29" t="s">
        <v>212</v>
      </c>
      <c r="I14" s="29" t="s">
        <v>212</v>
      </c>
      <c r="J14" s="29" t="s">
        <v>147</v>
      </c>
      <c r="K14" s="29" t="s">
        <v>63</v>
      </c>
    </row>
    <row r="15" customFormat="false" ht="15" hidden="false" customHeight="false" outlineLevel="0" collapsed="false">
      <c r="A15" s="33" t="n">
        <v>46082</v>
      </c>
      <c r="B15" s="32" t="s">
        <v>65</v>
      </c>
      <c r="C15" s="32" t="s">
        <v>67</v>
      </c>
      <c r="D15" s="32" t="s">
        <v>66</v>
      </c>
      <c r="E15" s="32" t="s">
        <v>136</v>
      </c>
      <c r="F15" s="32" t="s">
        <v>138</v>
      </c>
      <c r="G15" s="32" t="s">
        <v>138</v>
      </c>
      <c r="H15" s="32" t="s">
        <v>212</v>
      </c>
      <c r="I15" s="32" t="s">
        <v>212</v>
      </c>
      <c r="J15" s="32" t="s">
        <v>135</v>
      </c>
      <c r="K15" s="32" t="s">
        <v>63</v>
      </c>
    </row>
    <row r="16" customFormat="false" ht="15" hidden="false" customHeight="false" outlineLevel="0" collapsed="false">
      <c r="A16" s="30" t="n">
        <v>46082</v>
      </c>
      <c r="B16" s="29" t="s">
        <v>79</v>
      </c>
      <c r="C16" s="29" t="s">
        <v>80</v>
      </c>
      <c r="D16" s="29" t="s">
        <v>66</v>
      </c>
      <c r="E16" s="29" t="s">
        <v>191</v>
      </c>
      <c r="F16" s="29" t="s">
        <v>193</v>
      </c>
      <c r="G16" s="29" t="s">
        <v>193</v>
      </c>
      <c r="H16" s="29" t="s">
        <v>212</v>
      </c>
      <c r="I16" s="29" t="s">
        <v>212</v>
      </c>
      <c r="J16" s="29" t="s">
        <v>190</v>
      </c>
      <c r="K16" s="29" t="s">
        <v>77</v>
      </c>
    </row>
    <row r="17" customFormat="false" ht="15" hidden="false" customHeight="false" outlineLevel="0" collapsed="false">
      <c r="A17" s="33" t="n">
        <v>46082</v>
      </c>
      <c r="B17" s="32" t="s">
        <v>85</v>
      </c>
      <c r="C17" s="32" t="s">
        <v>86</v>
      </c>
      <c r="D17" s="32" t="s">
        <v>66</v>
      </c>
      <c r="E17" s="32" t="s">
        <v>179</v>
      </c>
      <c r="F17" s="32" t="s">
        <v>182</v>
      </c>
      <c r="G17" s="32" t="s">
        <v>182</v>
      </c>
      <c r="H17" s="32" t="s">
        <v>213</v>
      </c>
      <c r="I17" s="32" t="s">
        <v>212</v>
      </c>
      <c r="J17" s="32" t="s">
        <v>178</v>
      </c>
      <c r="K17" s="32" t="s">
        <v>83</v>
      </c>
    </row>
    <row r="18" customFormat="false" ht="15" hidden="false" customHeight="false" outlineLevel="0" collapsed="false">
      <c r="A18" s="30" t="n">
        <v>46082</v>
      </c>
      <c r="B18" s="29" t="s">
        <v>85</v>
      </c>
      <c r="C18" s="29" t="s">
        <v>86</v>
      </c>
      <c r="D18" s="29" t="s">
        <v>66</v>
      </c>
      <c r="E18" s="29" t="s">
        <v>115</v>
      </c>
      <c r="F18" s="29" t="s">
        <v>117</v>
      </c>
      <c r="G18" s="29" t="s">
        <v>117</v>
      </c>
      <c r="H18" s="29" t="s">
        <v>213</v>
      </c>
      <c r="I18" s="29" t="s">
        <v>212</v>
      </c>
      <c r="J18" s="29" t="s">
        <v>114</v>
      </c>
      <c r="K18" s="29" t="s">
        <v>83</v>
      </c>
    </row>
    <row r="19" customFormat="false" ht="15" hidden="false" customHeight="false" outlineLevel="0" collapsed="false">
      <c r="A19" s="33" t="n">
        <v>46082</v>
      </c>
      <c r="B19" s="32" t="s">
        <v>85</v>
      </c>
      <c r="C19" s="32" t="s">
        <v>86</v>
      </c>
      <c r="D19" s="32" t="s">
        <v>66</v>
      </c>
      <c r="E19" s="32" t="s">
        <v>136</v>
      </c>
      <c r="F19" s="32" t="s">
        <v>138</v>
      </c>
      <c r="G19" s="32" t="s">
        <v>138</v>
      </c>
      <c r="H19" s="32" t="s">
        <v>212</v>
      </c>
      <c r="I19" s="32" t="s">
        <v>212</v>
      </c>
      <c r="J19" s="32" t="s">
        <v>135</v>
      </c>
      <c r="K19" s="32" t="s">
        <v>83</v>
      </c>
    </row>
    <row r="20" customFormat="false" ht="15" hidden="false" customHeight="false" outlineLevel="0" collapsed="false">
      <c r="A20" s="30" t="n">
        <v>46082</v>
      </c>
      <c r="B20" s="29" t="s">
        <v>91</v>
      </c>
      <c r="C20" s="29" t="s">
        <v>92</v>
      </c>
      <c r="D20" s="29" t="s">
        <v>66</v>
      </c>
      <c r="E20" s="29" t="s">
        <v>124</v>
      </c>
      <c r="F20" s="29" t="s">
        <v>126</v>
      </c>
      <c r="G20" s="29" t="s">
        <v>126</v>
      </c>
      <c r="H20" s="29" t="s">
        <v>212</v>
      </c>
      <c r="I20" s="29" t="s">
        <v>212</v>
      </c>
      <c r="J20" s="29" t="s">
        <v>123</v>
      </c>
      <c r="K20" s="29" t="s">
        <v>89</v>
      </c>
    </row>
    <row r="21" customFormat="false" ht="15" hidden="false" customHeight="false" outlineLevel="0" collapsed="false">
      <c r="A21" s="33" t="n">
        <v>46082</v>
      </c>
      <c r="B21" s="32" t="s">
        <v>97</v>
      </c>
      <c r="C21" s="32" t="s">
        <v>98</v>
      </c>
      <c r="D21" s="32" t="s">
        <v>66</v>
      </c>
      <c r="E21" s="32" t="s">
        <v>144</v>
      </c>
      <c r="F21" s="32" t="s">
        <v>146</v>
      </c>
      <c r="G21" s="32" t="s">
        <v>146</v>
      </c>
      <c r="H21" s="32" t="s">
        <v>212</v>
      </c>
      <c r="I21" s="32" t="s">
        <v>212</v>
      </c>
      <c r="J21" s="32" t="s">
        <v>143</v>
      </c>
      <c r="K21" s="32" t="s">
        <v>95</v>
      </c>
    </row>
    <row r="22" customFormat="false" ht="15" hidden="false" customHeight="false" outlineLevel="0" collapsed="false">
      <c r="A22" s="30" t="n">
        <v>46082</v>
      </c>
      <c r="B22" s="29" t="s">
        <v>97</v>
      </c>
      <c r="C22" s="29" t="s">
        <v>98</v>
      </c>
      <c r="D22" s="29" t="s">
        <v>66</v>
      </c>
      <c r="E22" s="29" t="s">
        <v>203</v>
      </c>
      <c r="F22" s="29" t="s">
        <v>205</v>
      </c>
      <c r="G22" s="29" t="s">
        <v>205</v>
      </c>
      <c r="H22" s="29" t="s">
        <v>213</v>
      </c>
      <c r="I22" s="29" t="s">
        <v>212</v>
      </c>
      <c r="J22" s="29" t="s">
        <v>202</v>
      </c>
      <c r="K22" s="29" t="s">
        <v>95</v>
      </c>
    </row>
    <row r="23" customFormat="false" ht="15" hidden="false" customHeight="false" outlineLevel="0" collapsed="false">
      <c r="A23" s="33" t="n">
        <v>46113</v>
      </c>
      <c r="B23" s="32" t="s">
        <v>65</v>
      </c>
      <c r="C23" s="32" t="s">
        <v>67</v>
      </c>
      <c r="D23" s="32" t="s">
        <v>66</v>
      </c>
      <c r="E23" s="32" t="s">
        <v>203</v>
      </c>
      <c r="F23" s="32" t="s">
        <v>205</v>
      </c>
      <c r="G23" s="32" t="s">
        <v>205</v>
      </c>
      <c r="H23" s="32" t="s">
        <v>212</v>
      </c>
      <c r="I23" s="32" t="s">
        <v>212</v>
      </c>
      <c r="J23" s="32" t="s">
        <v>202</v>
      </c>
      <c r="K23" s="32" t="s">
        <v>63</v>
      </c>
    </row>
    <row r="24" customFormat="false" ht="15" hidden="false" customHeight="false" outlineLevel="0" collapsed="false">
      <c r="A24" s="30" t="n">
        <v>46113</v>
      </c>
      <c r="B24" s="29" t="s">
        <v>65</v>
      </c>
      <c r="C24" s="29" t="s">
        <v>67</v>
      </c>
      <c r="D24" s="29" t="s">
        <v>66</v>
      </c>
      <c r="E24" s="29" t="s">
        <v>148</v>
      </c>
      <c r="F24" s="29" t="s">
        <v>150</v>
      </c>
      <c r="G24" s="29" t="s">
        <v>150</v>
      </c>
      <c r="H24" s="29" t="s">
        <v>212</v>
      </c>
      <c r="I24" s="29" t="s">
        <v>212</v>
      </c>
      <c r="J24" s="29" t="s">
        <v>147</v>
      </c>
      <c r="K24" s="29" t="s">
        <v>63</v>
      </c>
    </row>
    <row r="25" customFormat="false" ht="15" hidden="false" customHeight="false" outlineLevel="0" collapsed="false">
      <c r="A25" s="33" t="n">
        <v>46113</v>
      </c>
      <c r="B25" s="32" t="s">
        <v>85</v>
      </c>
      <c r="C25" s="32" t="s">
        <v>86</v>
      </c>
      <c r="D25" s="32" t="s">
        <v>66</v>
      </c>
      <c r="E25" s="32" t="s">
        <v>136</v>
      </c>
      <c r="F25" s="32" t="s">
        <v>138</v>
      </c>
      <c r="G25" s="32" t="s">
        <v>138</v>
      </c>
      <c r="H25" s="32" t="s">
        <v>212</v>
      </c>
      <c r="I25" s="32" t="s">
        <v>212</v>
      </c>
      <c r="J25" s="32" t="s">
        <v>135</v>
      </c>
      <c r="K25" s="32" t="s">
        <v>83</v>
      </c>
    </row>
    <row r="26" customFormat="false" ht="15" hidden="false" customHeight="false" outlineLevel="0" collapsed="false">
      <c r="A26" s="30" t="n">
        <v>46113</v>
      </c>
      <c r="B26" s="29" t="s">
        <v>85</v>
      </c>
      <c r="C26" s="29" t="s">
        <v>86</v>
      </c>
      <c r="D26" s="29" t="s">
        <v>66</v>
      </c>
      <c r="E26" s="29" t="s">
        <v>115</v>
      </c>
      <c r="F26" s="29" t="s">
        <v>117</v>
      </c>
      <c r="G26" s="29" t="s">
        <v>117</v>
      </c>
      <c r="H26" s="29" t="s">
        <v>212</v>
      </c>
      <c r="I26" s="29" t="s">
        <v>212</v>
      </c>
      <c r="J26" s="29" t="s">
        <v>114</v>
      </c>
      <c r="K26" s="29" t="s">
        <v>83</v>
      </c>
    </row>
    <row r="27" customFormat="false" ht="15" hidden="false" customHeight="false" outlineLevel="0" collapsed="false">
      <c r="A27" s="33" t="n">
        <v>46113</v>
      </c>
      <c r="B27" s="32" t="s">
        <v>85</v>
      </c>
      <c r="C27" s="32" t="s">
        <v>86</v>
      </c>
      <c r="D27" s="32" t="s">
        <v>66</v>
      </c>
      <c r="E27" s="32" t="s">
        <v>179</v>
      </c>
      <c r="F27" s="32" t="s">
        <v>182</v>
      </c>
      <c r="G27" s="32" t="s">
        <v>182</v>
      </c>
      <c r="H27" s="32" t="s">
        <v>212</v>
      </c>
      <c r="I27" s="32" t="s">
        <v>212</v>
      </c>
      <c r="J27" s="32" t="s">
        <v>178</v>
      </c>
      <c r="K27" s="32" t="s">
        <v>83</v>
      </c>
    </row>
    <row r="28" customFormat="false" ht="15" hidden="false" customHeight="false" outlineLevel="0" collapsed="false">
      <c r="A28" s="30" t="n">
        <v>46113</v>
      </c>
      <c r="B28" s="29" t="s">
        <v>91</v>
      </c>
      <c r="C28" s="29" t="s">
        <v>92</v>
      </c>
      <c r="D28" s="29" t="s">
        <v>66</v>
      </c>
      <c r="E28" s="29" t="s">
        <v>124</v>
      </c>
      <c r="F28" s="29" t="s">
        <v>126</v>
      </c>
      <c r="G28" s="29" t="s">
        <v>126</v>
      </c>
      <c r="H28" s="29" t="s">
        <v>212</v>
      </c>
      <c r="I28" s="29" t="s">
        <v>212</v>
      </c>
      <c r="J28" s="29" t="s">
        <v>123</v>
      </c>
      <c r="K28" s="29" t="s">
        <v>89</v>
      </c>
    </row>
    <row r="29" customFormat="false" ht="15" hidden="false" customHeight="false" outlineLevel="0" collapsed="false">
      <c r="A29" s="33" t="n">
        <v>46113</v>
      </c>
      <c r="B29" s="32" t="s">
        <v>97</v>
      </c>
      <c r="C29" s="32" t="s">
        <v>98</v>
      </c>
      <c r="D29" s="32" t="s">
        <v>66</v>
      </c>
      <c r="E29" s="32" t="s">
        <v>144</v>
      </c>
      <c r="F29" s="32" t="s">
        <v>146</v>
      </c>
      <c r="G29" s="32" t="s">
        <v>146</v>
      </c>
      <c r="H29" s="32" t="s">
        <v>212</v>
      </c>
      <c r="I29" s="32" t="s">
        <v>212</v>
      </c>
      <c r="J29" s="32" t="s">
        <v>143</v>
      </c>
      <c r="K29" s="32" t="s">
        <v>95</v>
      </c>
    </row>
    <row r="30" customFormat="false" ht="15" hidden="false" customHeight="false" outlineLevel="0" collapsed="false">
      <c r="A30" s="30" t="n">
        <v>46113</v>
      </c>
      <c r="B30" s="29" t="s">
        <v>97</v>
      </c>
      <c r="C30" s="29" t="s">
        <v>98</v>
      </c>
      <c r="D30" s="29" t="s">
        <v>66</v>
      </c>
      <c r="E30" s="29" t="s">
        <v>203</v>
      </c>
      <c r="F30" s="29" t="s">
        <v>205</v>
      </c>
      <c r="G30" s="29" t="s">
        <v>205</v>
      </c>
      <c r="H30" s="29" t="s">
        <v>212</v>
      </c>
      <c r="I30" s="29" t="s">
        <v>212</v>
      </c>
      <c r="J30" s="29" t="s">
        <v>202</v>
      </c>
      <c r="K30" s="29" t="s">
        <v>95</v>
      </c>
    </row>
    <row r="31" customFormat="false" ht="15" hidden="false" customHeight="false" outlineLevel="0" collapsed="false">
      <c r="A31" s="33" t="n">
        <v>46143</v>
      </c>
      <c r="B31" s="32" t="s">
        <v>65</v>
      </c>
      <c r="C31" s="32" t="s">
        <v>67</v>
      </c>
      <c r="D31" s="32" t="s">
        <v>66</v>
      </c>
      <c r="E31" s="32" t="s">
        <v>203</v>
      </c>
      <c r="F31" s="32" t="s">
        <v>205</v>
      </c>
      <c r="G31" s="32" t="s">
        <v>205</v>
      </c>
      <c r="H31" s="32" t="s">
        <v>212</v>
      </c>
      <c r="I31" s="32" t="s">
        <v>212</v>
      </c>
      <c r="J31" s="32" t="s">
        <v>202</v>
      </c>
      <c r="K31" s="32" t="s">
        <v>63</v>
      </c>
    </row>
    <row r="32" customFormat="false" ht="15" hidden="false" customHeight="false" outlineLevel="0" collapsed="false">
      <c r="A32" s="30" t="n">
        <v>46143</v>
      </c>
      <c r="B32" s="29" t="s">
        <v>85</v>
      </c>
      <c r="C32" s="29" t="s">
        <v>86</v>
      </c>
      <c r="D32" s="29" t="s">
        <v>66</v>
      </c>
      <c r="E32" s="29" t="s">
        <v>136</v>
      </c>
      <c r="F32" s="29" t="s">
        <v>138</v>
      </c>
      <c r="G32" s="29" t="s">
        <v>138</v>
      </c>
      <c r="H32" s="29" t="s">
        <v>212</v>
      </c>
      <c r="I32" s="29" t="s">
        <v>212</v>
      </c>
      <c r="J32" s="29" t="s">
        <v>135</v>
      </c>
      <c r="K32" s="29" t="s">
        <v>83</v>
      </c>
    </row>
    <row r="33" customFormat="false" ht="15" hidden="false" customHeight="false" outlineLevel="0" collapsed="false">
      <c r="A33" s="33" t="n">
        <v>46143</v>
      </c>
      <c r="B33" s="32" t="s">
        <v>85</v>
      </c>
      <c r="C33" s="32" t="s">
        <v>86</v>
      </c>
      <c r="D33" s="32" t="s">
        <v>66</v>
      </c>
      <c r="E33" s="32" t="s">
        <v>179</v>
      </c>
      <c r="F33" s="32" t="s">
        <v>182</v>
      </c>
      <c r="G33" s="32" t="s">
        <v>182</v>
      </c>
      <c r="H33" s="32" t="s">
        <v>212</v>
      </c>
      <c r="I33" s="32" t="s">
        <v>212</v>
      </c>
      <c r="J33" s="32" t="s">
        <v>178</v>
      </c>
      <c r="K33" s="32" t="s">
        <v>83</v>
      </c>
    </row>
    <row r="34" customFormat="false" ht="15" hidden="false" customHeight="false" outlineLevel="0" collapsed="false">
      <c r="A34" s="30" t="n">
        <v>46143</v>
      </c>
      <c r="B34" s="29" t="s">
        <v>91</v>
      </c>
      <c r="C34" s="29" t="s">
        <v>92</v>
      </c>
      <c r="D34" s="29" t="s">
        <v>66</v>
      </c>
      <c r="E34" s="29" t="s">
        <v>164</v>
      </c>
      <c r="F34" s="29" t="s">
        <v>166</v>
      </c>
      <c r="G34" s="29" t="s">
        <v>166</v>
      </c>
      <c r="H34" s="29" t="s">
        <v>212</v>
      </c>
      <c r="I34" s="29" t="s">
        <v>212</v>
      </c>
      <c r="J34" s="29" t="s">
        <v>163</v>
      </c>
      <c r="K34" s="29" t="s">
        <v>89</v>
      </c>
    </row>
    <row r="35" customFormat="false" ht="15" hidden="false" customHeight="false" outlineLevel="0" collapsed="false">
      <c r="A35" s="33" t="n">
        <v>46143</v>
      </c>
      <c r="B35" s="32" t="s">
        <v>97</v>
      </c>
      <c r="C35" s="32" t="s">
        <v>98</v>
      </c>
      <c r="D35" s="32" t="s">
        <v>66</v>
      </c>
      <c r="E35" s="32" t="s">
        <v>156</v>
      </c>
      <c r="F35" s="32" t="s">
        <v>158</v>
      </c>
      <c r="G35" s="32" t="s">
        <v>158</v>
      </c>
      <c r="H35" s="32" t="s">
        <v>212</v>
      </c>
      <c r="I35" s="32" t="s">
        <v>212</v>
      </c>
      <c r="J35" s="32" t="s">
        <v>155</v>
      </c>
      <c r="K35" s="32" t="s">
        <v>95</v>
      </c>
    </row>
    <row r="36" customFormat="false" ht="15" hidden="false" customHeight="false" outlineLevel="0" collapsed="false">
      <c r="A36" s="30" t="n">
        <v>46143</v>
      </c>
      <c r="B36" s="29" t="s">
        <v>97</v>
      </c>
      <c r="C36" s="29" t="s">
        <v>98</v>
      </c>
      <c r="D36" s="29" t="s">
        <v>66</v>
      </c>
      <c r="E36" s="29" t="s">
        <v>203</v>
      </c>
      <c r="F36" s="29" t="s">
        <v>205</v>
      </c>
      <c r="G36" s="29" t="s">
        <v>205</v>
      </c>
      <c r="H36" s="29" t="s">
        <v>212</v>
      </c>
      <c r="I36" s="29" t="s">
        <v>212</v>
      </c>
      <c r="J36" s="29" t="s">
        <v>202</v>
      </c>
      <c r="K36" s="29" t="s">
        <v>95</v>
      </c>
    </row>
    <row r="37" customFormat="false" ht="15" hidden="false" customHeight="false" outlineLevel="0" collapsed="false">
      <c r="A37" s="33" t="n">
        <v>46174</v>
      </c>
      <c r="B37" s="32" t="s">
        <v>65</v>
      </c>
      <c r="C37" s="32" t="s">
        <v>67</v>
      </c>
      <c r="D37" s="32" t="s">
        <v>66</v>
      </c>
      <c r="E37" s="32" t="s">
        <v>124</v>
      </c>
      <c r="F37" s="32" t="s">
        <v>126</v>
      </c>
      <c r="G37" s="32" t="s">
        <v>126</v>
      </c>
      <c r="H37" s="32" t="s">
        <v>212</v>
      </c>
      <c r="I37" s="32" t="s">
        <v>212</v>
      </c>
      <c r="J37" s="32" t="s">
        <v>123</v>
      </c>
      <c r="K37" s="32" t="s">
        <v>63</v>
      </c>
    </row>
    <row r="38" customFormat="false" ht="15" hidden="false" customHeight="false" outlineLevel="0" collapsed="false">
      <c r="A38" s="30" t="n">
        <v>46174</v>
      </c>
      <c r="B38" s="29" t="s">
        <v>73</v>
      </c>
      <c r="C38" s="29" t="s">
        <v>74</v>
      </c>
      <c r="D38" s="29" t="s">
        <v>66</v>
      </c>
      <c r="E38" s="29" t="s">
        <v>179</v>
      </c>
      <c r="F38" s="29" t="s">
        <v>182</v>
      </c>
      <c r="G38" s="29" t="s">
        <v>182</v>
      </c>
      <c r="H38" s="29" t="s">
        <v>212</v>
      </c>
      <c r="I38" s="29" t="s">
        <v>212</v>
      </c>
      <c r="J38" s="29" t="s">
        <v>178</v>
      </c>
      <c r="K38" s="29" t="s">
        <v>71</v>
      </c>
    </row>
    <row r="39" customFormat="false" ht="15" hidden="false" customHeight="false" outlineLevel="0" collapsed="false">
      <c r="A39" s="33" t="n">
        <v>46174</v>
      </c>
      <c r="B39" s="32" t="s">
        <v>79</v>
      </c>
      <c r="C39" s="32" t="s">
        <v>80</v>
      </c>
      <c r="D39" s="32" t="s">
        <v>66</v>
      </c>
      <c r="E39" s="32" t="s">
        <v>184</v>
      </c>
      <c r="F39" s="32" t="s">
        <v>185</v>
      </c>
      <c r="G39" s="32" t="s">
        <v>185</v>
      </c>
      <c r="H39" s="32" t="s">
        <v>212</v>
      </c>
      <c r="I39" s="32" t="s">
        <v>212</v>
      </c>
      <c r="J39" s="32" t="s">
        <v>183</v>
      </c>
      <c r="K39" s="32" t="s">
        <v>77</v>
      </c>
    </row>
    <row r="40" customFormat="false" ht="15" hidden="false" customHeight="false" outlineLevel="0" collapsed="false">
      <c r="A40" s="30" t="n">
        <v>46174</v>
      </c>
      <c r="B40" s="29" t="s">
        <v>85</v>
      </c>
      <c r="C40" s="29" t="s">
        <v>86</v>
      </c>
      <c r="D40" s="29" t="s">
        <v>66</v>
      </c>
      <c r="E40" s="29" t="s">
        <v>179</v>
      </c>
      <c r="F40" s="29" t="s">
        <v>182</v>
      </c>
      <c r="G40" s="29" t="s">
        <v>182</v>
      </c>
      <c r="H40" s="29" t="s">
        <v>213</v>
      </c>
      <c r="I40" s="29" t="s">
        <v>212</v>
      </c>
      <c r="J40" s="29" t="s">
        <v>178</v>
      </c>
      <c r="K40" s="29" t="s">
        <v>83</v>
      </c>
    </row>
    <row r="41" customFormat="false" ht="15" hidden="false" customHeight="false" outlineLevel="0" collapsed="false">
      <c r="A41" s="33" t="n">
        <v>46174</v>
      </c>
      <c r="B41" s="32" t="s">
        <v>85</v>
      </c>
      <c r="C41" s="32" t="s">
        <v>86</v>
      </c>
      <c r="D41" s="32" t="s">
        <v>66</v>
      </c>
      <c r="E41" s="32" t="s">
        <v>136</v>
      </c>
      <c r="F41" s="32" t="s">
        <v>138</v>
      </c>
      <c r="G41" s="32" t="s">
        <v>138</v>
      </c>
      <c r="H41" s="32" t="s">
        <v>212</v>
      </c>
      <c r="I41" s="32" t="s">
        <v>212</v>
      </c>
      <c r="J41" s="32" t="s">
        <v>135</v>
      </c>
      <c r="K41" s="32" t="s">
        <v>83</v>
      </c>
    </row>
    <row r="42" customFormat="false" ht="15" hidden="false" customHeight="false" outlineLevel="0" collapsed="false">
      <c r="A42" s="30" t="n">
        <v>46174</v>
      </c>
      <c r="B42" s="29" t="s">
        <v>91</v>
      </c>
      <c r="C42" s="29" t="s">
        <v>92</v>
      </c>
      <c r="D42" s="29" t="s">
        <v>66</v>
      </c>
      <c r="E42" s="29" t="s">
        <v>148</v>
      </c>
      <c r="F42" s="29" t="s">
        <v>150</v>
      </c>
      <c r="G42" s="29" t="s">
        <v>150</v>
      </c>
      <c r="H42" s="29" t="s">
        <v>212</v>
      </c>
      <c r="I42" s="29" t="s">
        <v>212</v>
      </c>
      <c r="J42" s="29" t="s">
        <v>147</v>
      </c>
      <c r="K42" s="29" t="s">
        <v>89</v>
      </c>
    </row>
    <row r="43" customFormat="false" ht="15" hidden="false" customHeight="false" outlineLevel="0" collapsed="false">
      <c r="A43" s="33" t="n">
        <v>46174</v>
      </c>
      <c r="B43" s="32" t="s">
        <v>91</v>
      </c>
      <c r="C43" s="32" t="s">
        <v>92</v>
      </c>
      <c r="D43" s="32" t="s">
        <v>66</v>
      </c>
      <c r="E43" s="32" t="s">
        <v>164</v>
      </c>
      <c r="F43" s="32" t="s">
        <v>166</v>
      </c>
      <c r="G43" s="32" t="s">
        <v>166</v>
      </c>
      <c r="H43" s="32" t="s">
        <v>212</v>
      </c>
      <c r="I43" s="32" t="s">
        <v>212</v>
      </c>
      <c r="J43" s="32" t="s">
        <v>163</v>
      </c>
      <c r="K43" s="32" t="s">
        <v>89</v>
      </c>
    </row>
    <row r="44" customFormat="false" ht="15" hidden="false" customHeight="false" outlineLevel="0" collapsed="false">
      <c r="A44" s="30" t="n">
        <v>46174</v>
      </c>
      <c r="B44" s="29" t="s">
        <v>97</v>
      </c>
      <c r="C44" s="29" t="s">
        <v>98</v>
      </c>
      <c r="D44" s="29" t="s">
        <v>66</v>
      </c>
      <c r="E44" s="29" t="s">
        <v>156</v>
      </c>
      <c r="F44" s="29" t="s">
        <v>158</v>
      </c>
      <c r="G44" s="29" t="s">
        <v>158</v>
      </c>
      <c r="H44" s="29" t="s">
        <v>212</v>
      </c>
      <c r="I44" s="29" t="s">
        <v>212</v>
      </c>
      <c r="J44" s="29" t="s">
        <v>155</v>
      </c>
      <c r="K44" s="29" t="s">
        <v>95</v>
      </c>
    </row>
    <row r="45" customFormat="false" ht="15" hidden="false" customHeight="false" outlineLevel="0" collapsed="false">
      <c r="A45" s="33" t="n">
        <v>46174</v>
      </c>
      <c r="B45" s="32" t="s">
        <v>97</v>
      </c>
      <c r="C45" s="32" t="s">
        <v>98</v>
      </c>
      <c r="D45" s="32" t="s">
        <v>66</v>
      </c>
      <c r="E45" s="32" t="s">
        <v>203</v>
      </c>
      <c r="F45" s="32" t="s">
        <v>205</v>
      </c>
      <c r="G45" s="32" t="s">
        <v>205</v>
      </c>
      <c r="H45" s="32" t="s">
        <v>213</v>
      </c>
      <c r="I45" s="32" t="s">
        <v>212</v>
      </c>
      <c r="J45" s="32" t="s">
        <v>202</v>
      </c>
      <c r="K45" s="32" t="s">
        <v>95</v>
      </c>
    </row>
    <row r="46" customFormat="false" ht="15" hidden="false" customHeight="false" outlineLevel="0" collapsed="false">
      <c r="A46" s="30" t="n">
        <v>46204</v>
      </c>
      <c r="B46" s="29" t="s">
        <v>65</v>
      </c>
      <c r="C46" s="29" t="s">
        <v>67</v>
      </c>
      <c r="D46" s="29" t="s">
        <v>66</v>
      </c>
      <c r="E46" s="29" t="s">
        <v>124</v>
      </c>
      <c r="F46" s="29" t="s">
        <v>126</v>
      </c>
      <c r="G46" s="29" t="s">
        <v>126</v>
      </c>
      <c r="H46" s="29" t="s">
        <v>212</v>
      </c>
      <c r="I46" s="29" t="s">
        <v>212</v>
      </c>
      <c r="J46" s="29" t="s">
        <v>123</v>
      </c>
      <c r="K46" s="29" t="s">
        <v>63</v>
      </c>
    </row>
    <row r="47" customFormat="false" ht="15" hidden="false" customHeight="false" outlineLevel="0" collapsed="false">
      <c r="A47" s="33" t="n">
        <v>46204</v>
      </c>
      <c r="B47" s="32" t="s">
        <v>65</v>
      </c>
      <c r="C47" s="32" t="s">
        <v>67</v>
      </c>
      <c r="D47" s="32" t="s">
        <v>66</v>
      </c>
      <c r="E47" s="32" t="s">
        <v>168</v>
      </c>
      <c r="F47" s="32" t="s">
        <v>170</v>
      </c>
      <c r="G47" s="32" t="s">
        <v>170</v>
      </c>
      <c r="H47" s="32" t="s">
        <v>212</v>
      </c>
      <c r="I47" s="32" t="s">
        <v>212</v>
      </c>
      <c r="J47" s="32" t="s">
        <v>167</v>
      </c>
      <c r="K47" s="32" t="s">
        <v>63</v>
      </c>
    </row>
    <row r="48" customFormat="false" ht="15" hidden="false" customHeight="false" outlineLevel="0" collapsed="false">
      <c r="A48" s="30" t="n">
        <v>46204</v>
      </c>
      <c r="B48" s="29" t="s">
        <v>79</v>
      </c>
      <c r="C48" s="29" t="s">
        <v>80</v>
      </c>
      <c r="D48" s="29" t="s">
        <v>66</v>
      </c>
      <c r="E48" s="29" t="s">
        <v>195</v>
      </c>
      <c r="F48" s="29" t="s">
        <v>197</v>
      </c>
      <c r="G48" s="29" t="s">
        <v>197</v>
      </c>
      <c r="H48" s="29" t="s">
        <v>212</v>
      </c>
      <c r="I48" s="29" t="s">
        <v>212</v>
      </c>
      <c r="J48" s="29" t="s">
        <v>194</v>
      </c>
      <c r="K48" s="29" t="s">
        <v>77</v>
      </c>
    </row>
    <row r="49" customFormat="false" ht="15" hidden="false" customHeight="false" outlineLevel="0" collapsed="false">
      <c r="A49" s="33" t="n">
        <v>46204</v>
      </c>
      <c r="B49" s="32" t="s">
        <v>85</v>
      </c>
      <c r="C49" s="32" t="s">
        <v>86</v>
      </c>
      <c r="D49" s="32" t="s">
        <v>66</v>
      </c>
      <c r="E49" s="32" t="s">
        <v>179</v>
      </c>
      <c r="F49" s="32" t="s">
        <v>182</v>
      </c>
      <c r="G49" s="32" t="s">
        <v>182</v>
      </c>
      <c r="H49" s="32" t="s">
        <v>212</v>
      </c>
      <c r="I49" s="32" t="s">
        <v>212</v>
      </c>
      <c r="J49" s="32" t="s">
        <v>178</v>
      </c>
      <c r="K49" s="32" t="s">
        <v>83</v>
      </c>
    </row>
    <row r="50" customFormat="false" ht="15" hidden="false" customHeight="false" outlineLevel="0" collapsed="false">
      <c r="A50" s="30" t="n">
        <v>46204</v>
      </c>
      <c r="B50" s="29" t="s">
        <v>91</v>
      </c>
      <c r="C50" s="29" t="s">
        <v>92</v>
      </c>
      <c r="D50" s="29" t="s">
        <v>66</v>
      </c>
      <c r="E50" s="29" t="s">
        <v>164</v>
      </c>
      <c r="F50" s="29" t="s">
        <v>166</v>
      </c>
      <c r="G50" s="29" t="s">
        <v>166</v>
      </c>
      <c r="H50" s="29" t="s">
        <v>212</v>
      </c>
      <c r="I50" s="29" t="s">
        <v>212</v>
      </c>
      <c r="J50" s="29" t="s">
        <v>163</v>
      </c>
      <c r="K50" s="29" t="s">
        <v>89</v>
      </c>
    </row>
    <row r="51" customFormat="false" ht="15" hidden="false" customHeight="false" outlineLevel="0" collapsed="false">
      <c r="A51" s="33" t="n">
        <v>46204</v>
      </c>
      <c r="B51" s="32" t="s">
        <v>97</v>
      </c>
      <c r="C51" s="32" t="s">
        <v>98</v>
      </c>
      <c r="D51" s="32" t="s">
        <v>66</v>
      </c>
      <c r="E51" s="32" t="s">
        <v>156</v>
      </c>
      <c r="F51" s="32" t="s">
        <v>158</v>
      </c>
      <c r="G51" s="32" t="s">
        <v>158</v>
      </c>
      <c r="H51" s="32" t="s">
        <v>212</v>
      </c>
      <c r="I51" s="32" t="s">
        <v>212</v>
      </c>
      <c r="J51" s="32" t="s">
        <v>155</v>
      </c>
      <c r="K51" s="32" t="s">
        <v>95</v>
      </c>
    </row>
    <row r="52" customFormat="false" ht="15" hidden="false" customHeight="false" outlineLevel="0" collapsed="false">
      <c r="A52" s="30" t="n">
        <v>46204</v>
      </c>
      <c r="B52" s="29" t="s">
        <v>97</v>
      </c>
      <c r="C52" s="29" t="s">
        <v>98</v>
      </c>
      <c r="D52" s="29" t="s">
        <v>66</v>
      </c>
      <c r="E52" s="29" t="s">
        <v>203</v>
      </c>
      <c r="F52" s="29" t="s">
        <v>205</v>
      </c>
      <c r="G52" s="29" t="s">
        <v>205</v>
      </c>
      <c r="H52" s="29" t="s">
        <v>212</v>
      </c>
      <c r="I52" s="29" t="s">
        <v>212</v>
      </c>
      <c r="J52" s="29" t="s">
        <v>202</v>
      </c>
      <c r="K52" s="29" t="s">
        <v>95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13"/>
    <col collapsed="false" customWidth="true" hidden="false" outlineLevel="0" max="3" min="3" style="0" width="8"/>
    <col collapsed="false" customWidth="true" hidden="false" outlineLevel="0" max="4" min="4" style="0" width="32"/>
    <col collapsed="false" customWidth="true" hidden="false" outlineLevel="0" max="5" min="5" style="0" width="11"/>
    <col collapsed="false" customWidth="true" hidden="false" outlineLevel="0" max="6" min="6" style="0" width="18"/>
    <col collapsed="false" customWidth="true" hidden="false" outlineLevel="0" max="7" min="7" style="0" width="12"/>
  </cols>
  <sheetData>
    <row r="1" customFormat="false" ht="15" hidden="false" customHeight="false" outlineLevel="0" collapsed="false">
      <c r="A1" s="27" t="s">
        <v>214</v>
      </c>
      <c r="B1" s="27" t="s">
        <v>206</v>
      </c>
      <c r="C1" s="27" t="s">
        <v>53</v>
      </c>
      <c r="D1" s="27" t="s">
        <v>54</v>
      </c>
      <c r="E1" s="27" t="s">
        <v>101</v>
      </c>
      <c r="F1" s="27" t="s">
        <v>215</v>
      </c>
      <c r="G1" s="27" t="s">
        <v>216</v>
      </c>
    </row>
    <row r="2" customFormat="false" ht="15" hidden="false" customHeight="false" outlineLevel="0" collapsed="false">
      <c r="A2" s="29" t="s">
        <v>217</v>
      </c>
      <c r="B2" s="30" t="n">
        <v>46082</v>
      </c>
      <c r="C2" s="29" t="s">
        <v>71</v>
      </c>
      <c r="D2" s="29" t="s">
        <v>72</v>
      </c>
      <c r="E2" s="29" t="s">
        <v>139</v>
      </c>
      <c r="F2" s="29" t="s">
        <v>140</v>
      </c>
      <c r="G2" s="29" t="s">
        <v>218</v>
      </c>
    </row>
    <row r="3" customFormat="false" ht="15" hidden="false" customHeight="false" outlineLevel="0" collapsed="false">
      <c r="A3" s="32" t="s">
        <v>219</v>
      </c>
      <c r="B3" s="33" t="n">
        <v>46082</v>
      </c>
      <c r="C3" s="32" t="s">
        <v>83</v>
      </c>
      <c r="D3" s="32" t="s">
        <v>84</v>
      </c>
      <c r="E3" s="32" t="s">
        <v>178</v>
      </c>
      <c r="F3" s="32" t="s">
        <v>179</v>
      </c>
      <c r="G3" s="32" t="s">
        <v>220</v>
      </c>
    </row>
    <row r="4" customFormat="false" ht="15" hidden="false" customHeight="false" outlineLevel="0" collapsed="false">
      <c r="A4" s="29" t="s">
        <v>221</v>
      </c>
      <c r="B4" s="30" t="n">
        <v>46082</v>
      </c>
      <c r="C4" s="29" t="s">
        <v>83</v>
      </c>
      <c r="D4" s="29" t="s">
        <v>84</v>
      </c>
      <c r="E4" s="29" t="s">
        <v>131</v>
      </c>
      <c r="F4" s="29" t="s">
        <v>132</v>
      </c>
      <c r="G4" s="29" t="s">
        <v>218</v>
      </c>
    </row>
    <row r="5" customFormat="false" ht="15" hidden="false" customHeight="false" outlineLevel="0" collapsed="false">
      <c r="A5" s="32" t="s">
        <v>222</v>
      </c>
      <c r="B5" s="33" t="n">
        <v>46082</v>
      </c>
      <c r="C5" s="32" t="s">
        <v>89</v>
      </c>
      <c r="D5" s="32" t="s">
        <v>90</v>
      </c>
      <c r="E5" s="32" t="s">
        <v>123</v>
      </c>
      <c r="F5" s="32" t="s">
        <v>124</v>
      </c>
      <c r="G5" s="32" t="s">
        <v>220</v>
      </c>
    </row>
    <row r="6" customFormat="false" ht="15" hidden="false" customHeight="false" outlineLevel="0" collapsed="false">
      <c r="A6" s="29" t="s">
        <v>223</v>
      </c>
      <c r="B6" s="30" t="n">
        <v>46082</v>
      </c>
      <c r="C6" s="29" t="s">
        <v>89</v>
      </c>
      <c r="D6" s="29" t="s">
        <v>90</v>
      </c>
      <c r="E6" s="29" t="s">
        <v>186</v>
      </c>
      <c r="F6" s="29" t="s">
        <v>187</v>
      </c>
      <c r="G6" s="29" t="s">
        <v>218</v>
      </c>
    </row>
    <row r="7" customFormat="false" ht="15" hidden="false" customHeight="false" outlineLevel="0" collapsed="false">
      <c r="A7" s="32" t="s">
        <v>224</v>
      </c>
      <c r="B7" s="33" t="n">
        <v>46113</v>
      </c>
      <c r="C7" s="32" t="s">
        <v>63</v>
      </c>
      <c r="D7" s="32" t="s">
        <v>64</v>
      </c>
      <c r="E7" s="32" t="s">
        <v>135</v>
      </c>
      <c r="F7" s="32" t="s">
        <v>136</v>
      </c>
      <c r="G7" s="32" t="s">
        <v>218</v>
      </c>
    </row>
    <row r="8" customFormat="false" ht="15" hidden="false" customHeight="false" outlineLevel="0" collapsed="false">
      <c r="A8" s="29" t="s">
        <v>225</v>
      </c>
      <c r="B8" s="30" t="n">
        <v>46113</v>
      </c>
      <c r="C8" s="29" t="s">
        <v>77</v>
      </c>
      <c r="D8" s="29" t="s">
        <v>78</v>
      </c>
      <c r="E8" s="29" t="s">
        <v>190</v>
      </c>
      <c r="F8" s="29" t="s">
        <v>191</v>
      </c>
      <c r="G8" s="29" t="s">
        <v>218</v>
      </c>
    </row>
    <row r="9" customFormat="false" ht="15" hidden="false" customHeight="false" outlineLevel="0" collapsed="false">
      <c r="A9" s="32" t="s">
        <v>226</v>
      </c>
      <c r="B9" s="33" t="n">
        <v>46143</v>
      </c>
      <c r="C9" s="32" t="s">
        <v>63</v>
      </c>
      <c r="D9" s="32" t="s">
        <v>64</v>
      </c>
      <c r="E9" s="32" t="s">
        <v>147</v>
      </c>
      <c r="F9" s="32" t="s">
        <v>148</v>
      </c>
      <c r="G9" s="32" t="s">
        <v>218</v>
      </c>
    </row>
    <row r="10" customFormat="false" ht="15" hidden="false" customHeight="false" outlineLevel="0" collapsed="false">
      <c r="A10" s="29" t="s">
        <v>227</v>
      </c>
      <c r="B10" s="30" t="n">
        <v>46143</v>
      </c>
      <c r="C10" s="29" t="s">
        <v>83</v>
      </c>
      <c r="D10" s="29" t="s">
        <v>84</v>
      </c>
      <c r="E10" s="29" t="s">
        <v>114</v>
      </c>
      <c r="F10" s="29" t="s">
        <v>115</v>
      </c>
      <c r="G10" s="29" t="s">
        <v>218</v>
      </c>
    </row>
    <row r="11" customFormat="false" ht="15" hidden="false" customHeight="false" outlineLevel="0" collapsed="false">
      <c r="A11" s="32" t="s">
        <v>228</v>
      </c>
      <c r="B11" s="33" t="n">
        <v>46143</v>
      </c>
      <c r="C11" s="32" t="s">
        <v>89</v>
      </c>
      <c r="D11" s="32" t="s">
        <v>90</v>
      </c>
      <c r="E11" s="32" t="s">
        <v>163</v>
      </c>
      <c r="F11" s="32" t="s">
        <v>164</v>
      </c>
      <c r="G11" s="32" t="s">
        <v>220</v>
      </c>
    </row>
    <row r="12" customFormat="false" ht="15" hidden="false" customHeight="false" outlineLevel="0" collapsed="false">
      <c r="A12" s="29" t="s">
        <v>229</v>
      </c>
      <c r="B12" s="30" t="n">
        <v>46143</v>
      </c>
      <c r="C12" s="29" t="s">
        <v>89</v>
      </c>
      <c r="D12" s="29" t="s">
        <v>90</v>
      </c>
      <c r="E12" s="29" t="s">
        <v>123</v>
      </c>
      <c r="F12" s="29" t="s">
        <v>124</v>
      </c>
      <c r="G12" s="29" t="s">
        <v>218</v>
      </c>
    </row>
    <row r="13" customFormat="false" ht="15" hidden="false" customHeight="false" outlineLevel="0" collapsed="false">
      <c r="A13" s="32" t="s">
        <v>230</v>
      </c>
      <c r="B13" s="33" t="n">
        <v>46143</v>
      </c>
      <c r="C13" s="32" t="s">
        <v>95</v>
      </c>
      <c r="D13" s="32" t="s">
        <v>96</v>
      </c>
      <c r="E13" s="32" t="s">
        <v>155</v>
      </c>
      <c r="F13" s="32" t="s">
        <v>156</v>
      </c>
      <c r="G13" s="32" t="s">
        <v>220</v>
      </c>
    </row>
    <row r="14" customFormat="false" ht="15" hidden="false" customHeight="false" outlineLevel="0" collapsed="false">
      <c r="A14" s="29" t="s">
        <v>231</v>
      </c>
      <c r="B14" s="30" t="n">
        <v>46143</v>
      </c>
      <c r="C14" s="29" t="s">
        <v>95</v>
      </c>
      <c r="D14" s="29" t="s">
        <v>96</v>
      </c>
      <c r="E14" s="29" t="s">
        <v>143</v>
      </c>
      <c r="F14" s="29" t="s">
        <v>144</v>
      </c>
      <c r="G14" s="29" t="s">
        <v>218</v>
      </c>
    </row>
    <row r="15" customFormat="false" ht="15" hidden="false" customHeight="false" outlineLevel="0" collapsed="false">
      <c r="A15" s="32" t="s">
        <v>232</v>
      </c>
      <c r="B15" s="33" t="n">
        <v>46174</v>
      </c>
      <c r="C15" s="32" t="s">
        <v>63</v>
      </c>
      <c r="D15" s="32" t="s">
        <v>64</v>
      </c>
      <c r="E15" s="32" t="s">
        <v>123</v>
      </c>
      <c r="F15" s="32" t="s">
        <v>124</v>
      </c>
      <c r="G15" s="32" t="s">
        <v>220</v>
      </c>
    </row>
    <row r="16" customFormat="false" ht="15" hidden="false" customHeight="false" outlineLevel="0" collapsed="false">
      <c r="A16" s="29" t="s">
        <v>233</v>
      </c>
      <c r="B16" s="30" t="n">
        <v>46174</v>
      </c>
      <c r="C16" s="29" t="s">
        <v>63</v>
      </c>
      <c r="D16" s="29" t="s">
        <v>64</v>
      </c>
      <c r="E16" s="29" t="s">
        <v>202</v>
      </c>
      <c r="F16" s="29" t="s">
        <v>203</v>
      </c>
      <c r="G16" s="29" t="s">
        <v>218</v>
      </c>
    </row>
    <row r="17" customFormat="false" ht="15" hidden="false" customHeight="false" outlineLevel="0" collapsed="false">
      <c r="A17" s="32" t="s">
        <v>234</v>
      </c>
      <c r="B17" s="33" t="n">
        <v>46174</v>
      </c>
      <c r="C17" s="32" t="s">
        <v>71</v>
      </c>
      <c r="D17" s="32" t="s">
        <v>72</v>
      </c>
      <c r="E17" s="32" t="s">
        <v>178</v>
      </c>
      <c r="F17" s="32" t="s">
        <v>179</v>
      </c>
      <c r="G17" s="32" t="s">
        <v>220</v>
      </c>
    </row>
    <row r="18" customFormat="false" ht="15" hidden="false" customHeight="false" outlineLevel="0" collapsed="false">
      <c r="A18" s="29" t="s">
        <v>235</v>
      </c>
      <c r="B18" s="30" t="n">
        <v>46174</v>
      </c>
      <c r="C18" s="29" t="s">
        <v>77</v>
      </c>
      <c r="D18" s="29" t="s">
        <v>78</v>
      </c>
      <c r="E18" s="29" t="s">
        <v>183</v>
      </c>
      <c r="F18" s="29" t="s">
        <v>184</v>
      </c>
      <c r="G18" s="29" t="s">
        <v>220</v>
      </c>
    </row>
    <row r="19" customFormat="false" ht="15" hidden="false" customHeight="false" outlineLevel="0" collapsed="false">
      <c r="A19" s="32" t="s">
        <v>236</v>
      </c>
      <c r="B19" s="33" t="n">
        <v>46174</v>
      </c>
      <c r="C19" s="32" t="s">
        <v>89</v>
      </c>
      <c r="D19" s="32" t="s">
        <v>90</v>
      </c>
      <c r="E19" s="32" t="s">
        <v>147</v>
      </c>
      <c r="F19" s="32" t="s">
        <v>148</v>
      </c>
      <c r="G19" s="32" t="s">
        <v>220</v>
      </c>
    </row>
    <row r="20" customFormat="false" ht="15" hidden="false" customHeight="false" outlineLevel="0" collapsed="false">
      <c r="A20" s="29" t="s">
        <v>237</v>
      </c>
      <c r="B20" s="30" t="n">
        <v>46204</v>
      </c>
      <c r="C20" s="29" t="s">
        <v>63</v>
      </c>
      <c r="D20" s="29" t="s">
        <v>64</v>
      </c>
      <c r="E20" s="29" t="s">
        <v>167</v>
      </c>
      <c r="F20" s="29" t="s">
        <v>168</v>
      </c>
      <c r="G20" s="29" t="s">
        <v>220</v>
      </c>
    </row>
    <row r="21" customFormat="false" ht="15" hidden="false" customHeight="false" outlineLevel="0" collapsed="false">
      <c r="A21" s="32" t="s">
        <v>238</v>
      </c>
      <c r="B21" s="33" t="n">
        <v>46204</v>
      </c>
      <c r="C21" s="32" t="s">
        <v>71</v>
      </c>
      <c r="D21" s="32" t="s">
        <v>72</v>
      </c>
      <c r="E21" s="32" t="s">
        <v>178</v>
      </c>
      <c r="F21" s="32" t="s">
        <v>179</v>
      </c>
      <c r="G21" s="32" t="s">
        <v>218</v>
      </c>
    </row>
    <row r="22" customFormat="false" ht="15" hidden="false" customHeight="false" outlineLevel="0" collapsed="false">
      <c r="A22" s="29" t="s">
        <v>239</v>
      </c>
      <c r="B22" s="30" t="n">
        <v>46204</v>
      </c>
      <c r="C22" s="29" t="s">
        <v>77</v>
      </c>
      <c r="D22" s="29" t="s">
        <v>78</v>
      </c>
      <c r="E22" s="29" t="s">
        <v>194</v>
      </c>
      <c r="F22" s="29" t="s">
        <v>195</v>
      </c>
      <c r="G22" s="29" t="s">
        <v>220</v>
      </c>
    </row>
    <row r="23" customFormat="false" ht="15" hidden="false" customHeight="false" outlineLevel="0" collapsed="false">
      <c r="A23" s="32" t="s">
        <v>240</v>
      </c>
      <c r="B23" s="33" t="n">
        <v>46204</v>
      </c>
      <c r="C23" s="32" t="s">
        <v>77</v>
      </c>
      <c r="D23" s="32" t="s">
        <v>78</v>
      </c>
      <c r="E23" s="32" t="s">
        <v>183</v>
      </c>
      <c r="F23" s="32" t="s">
        <v>184</v>
      </c>
      <c r="G23" s="32" t="s">
        <v>218</v>
      </c>
    </row>
    <row r="24" customFormat="false" ht="15" hidden="false" customHeight="false" outlineLevel="0" collapsed="false">
      <c r="A24" s="29" t="s">
        <v>241</v>
      </c>
      <c r="B24" s="30" t="n">
        <v>46204</v>
      </c>
      <c r="C24" s="29" t="s">
        <v>83</v>
      </c>
      <c r="D24" s="29" t="s">
        <v>84</v>
      </c>
      <c r="E24" s="29" t="s">
        <v>135</v>
      </c>
      <c r="F24" s="29" t="s">
        <v>136</v>
      </c>
      <c r="G24" s="29" t="s">
        <v>218</v>
      </c>
    </row>
    <row r="25" customFormat="false" ht="15" hidden="false" customHeight="false" outlineLevel="0" collapsed="false">
      <c r="A25" s="32" t="s">
        <v>242</v>
      </c>
      <c r="B25" s="33" t="n">
        <v>46204</v>
      </c>
      <c r="C25" s="32" t="s">
        <v>89</v>
      </c>
      <c r="D25" s="32" t="s">
        <v>90</v>
      </c>
      <c r="E25" s="32" t="s">
        <v>147</v>
      </c>
      <c r="F25" s="32" t="s">
        <v>148</v>
      </c>
      <c r="G25" s="32" t="s">
        <v>218</v>
      </c>
    </row>
  </sheetData>
  <conditionalFormatting sqref="G2:G25">
    <cfRule type="cellIs" priority="2" operator="equal" aboveAverage="0" equalAverage="0" bottom="0" percent="0" rank="0" text="" dxfId="8">
      <formula>"Joined"</formula>
    </cfRule>
    <cfRule type="cellIs" priority="3" operator="equal" aboveAverage="0" equalAverage="0" bottom="0" percent="0" rank="0" text="" dxfId="9">
      <formula>"Left"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7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10"/>
    <col collapsed="false" customWidth="true" hidden="false" outlineLevel="0" max="3" min="3" style="0" width="38"/>
    <col collapsed="false" customWidth="true" hidden="false" outlineLevel="0" max="5" min="4" style="0" width="17"/>
    <col collapsed="false" customWidth="true" hidden="false" outlineLevel="0" max="6" min="6" style="0" width="26"/>
    <col collapsed="false" customWidth="true" hidden="false" outlineLevel="0" max="7" min="7" style="0" width="18"/>
    <col collapsed="false" customWidth="true" hidden="false" outlineLevel="0" max="9" min="8" style="0" width="26"/>
  </cols>
  <sheetData>
    <row r="1" customFormat="false" ht="15" hidden="false" customHeight="false" outlineLevel="0" collapsed="false">
      <c r="A1" s="35" t="s">
        <v>243</v>
      </c>
      <c r="B1" s="35" t="s">
        <v>244</v>
      </c>
      <c r="C1" s="35" t="s">
        <v>245</v>
      </c>
      <c r="D1" s="35" t="s">
        <v>246</v>
      </c>
      <c r="E1" s="35" t="s">
        <v>247</v>
      </c>
      <c r="F1" s="35" t="s">
        <v>248</v>
      </c>
      <c r="G1" s="35" t="s">
        <v>249</v>
      </c>
      <c r="H1" s="35" t="s">
        <v>250</v>
      </c>
      <c r="I1" s="35" t="s">
        <v>251</v>
      </c>
    </row>
    <row r="2" customFormat="false" ht="15" hidden="false" customHeight="false" outlineLevel="0" collapsed="false">
      <c r="A2" s="29" t="n">
        <v>101</v>
      </c>
      <c r="B2" s="29" t="s">
        <v>252</v>
      </c>
      <c r="C2" s="29" t="s">
        <v>253</v>
      </c>
      <c r="D2" s="30" t="n">
        <v>46062</v>
      </c>
      <c r="E2" s="30" t="n">
        <v>46062</v>
      </c>
      <c r="F2" s="29" t="s">
        <v>150</v>
      </c>
      <c r="G2" s="29" t="s">
        <v>148</v>
      </c>
      <c r="H2" s="29" t="s">
        <v>254</v>
      </c>
      <c r="I2" s="29" t="s">
        <v>255</v>
      </c>
    </row>
    <row r="3" customFormat="false" ht="15" hidden="false" customHeight="false" outlineLevel="0" collapsed="false">
      <c r="A3" s="32" t="n">
        <v>102</v>
      </c>
      <c r="B3" s="32" t="s">
        <v>252</v>
      </c>
      <c r="C3" s="32" t="s">
        <v>253</v>
      </c>
      <c r="D3" s="33" t="n">
        <v>46071</v>
      </c>
      <c r="E3" s="33" t="n">
        <v>46071</v>
      </c>
      <c r="F3" s="32" t="s">
        <v>205</v>
      </c>
      <c r="G3" s="32" t="s">
        <v>203</v>
      </c>
      <c r="H3" s="32" t="s">
        <v>254</v>
      </c>
      <c r="I3" s="32" t="s">
        <v>256</v>
      </c>
    </row>
    <row r="4" customFormat="false" ht="15" hidden="false" customHeight="false" outlineLevel="0" collapsed="false">
      <c r="A4" s="29" t="n">
        <v>103</v>
      </c>
      <c r="B4" s="29" t="s">
        <v>252</v>
      </c>
      <c r="C4" s="29" t="s">
        <v>253</v>
      </c>
      <c r="D4" s="30" t="n">
        <v>46063</v>
      </c>
      <c r="E4" s="30" t="n">
        <v>46063</v>
      </c>
      <c r="F4" s="29" t="s">
        <v>138</v>
      </c>
      <c r="G4" s="29" t="s">
        <v>136</v>
      </c>
      <c r="H4" s="29" t="s">
        <v>257</v>
      </c>
      <c r="I4" s="29" t="s">
        <v>258</v>
      </c>
    </row>
    <row r="5" customFormat="false" ht="15" hidden="false" customHeight="false" outlineLevel="0" collapsed="false">
      <c r="A5" s="32" t="n">
        <v>104</v>
      </c>
      <c r="B5" s="32" t="s">
        <v>252</v>
      </c>
      <c r="C5" s="32" t="s">
        <v>253</v>
      </c>
      <c r="D5" s="33" t="n">
        <v>46064</v>
      </c>
      <c r="E5" s="33" t="n">
        <v>46064</v>
      </c>
      <c r="F5" s="32" t="s">
        <v>166</v>
      </c>
      <c r="G5" s="32" t="s">
        <v>164</v>
      </c>
      <c r="H5" s="32" t="s">
        <v>257</v>
      </c>
      <c r="I5" s="32" t="s">
        <v>255</v>
      </c>
    </row>
    <row r="6" customFormat="false" ht="15" hidden="false" customHeight="false" outlineLevel="0" collapsed="false">
      <c r="A6" s="29" t="n">
        <v>105</v>
      </c>
      <c r="B6" s="29" t="s">
        <v>252</v>
      </c>
      <c r="C6" s="29" t="s">
        <v>253</v>
      </c>
      <c r="D6" s="30" t="n">
        <v>46069</v>
      </c>
      <c r="E6" s="30" t="n">
        <v>46069</v>
      </c>
      <c r="F6" s="29" t="s">
        <v>185</v>
      </c>
      <c r="G6" s="29" t="s">
        <v>184</v>
      </c>
      <c r="H6" s="29" t="s">
        <v>257</v>
      </c>
      <c r="I6" s="29" t="s">
        <v>258</v>
      </c>
    </row>
    <row r="7" customFormat="false" ht="15" hidden="false" customHeight="false" outlineLevel="0" collapsed="false">
      <c r="A7" s="32" t="n">
        <v>106</v>
      </c>
      <c r="B7" s="32" t="s">
        <v>252</v>
      </c>
      <c r="C7" s="32" t="s">
        <v>253</v>
      </c>
      <c r="D7" s="33" t="n">
        <v>46066</v>
      </c>
      <c r="E7" s="33" t="n">
        <v>46066</v>
      </c>
      <c r="F7" s="32" t="s">
        <v>126</v>
      </c>
      <c r="G7" s="32" t="s">
        <v>124</v>
      </c>
      <c r="H7" s="32" t="s">
        <v>254</v>
      </c>
      <c r="I7" s="32" t="s">
        <v>258</v>
      </c>
    </row>
    <row r="8" customFormat="false" ht="15" hidden="false" customHeight="false" outlineLevel="0" collapsed="false">
      <c r="A8" s="29" t="n">
        <v>107</v>
      </c>
      <c r="B8" s="29" t="s">
        <v>259</v>
      </c>
      <c r="C8" s="29" t="s">
        <v>253</v>
      </c>
      <c r="D8" s="30" t="n">
        <v>46150</v>
      </c>
      <c r="E8" s="30" t="n">
        <v>46150</v>
      </c>
      <c r="F8" s="29" t="s">
        <v>205</v>
      </c>
      <c r="G8" s="29" t="s">
        <v>203</v>
      </c>
      <c r="H8" s="29" t="s">
        <v>254</v>
      </c>
      <c r="I8" s="29" t="s">
        <v>258</v>
      </c>
    </row>
    <row r="9" customFormat="false" ht="15" hidden="false" customHeight="false" outlineLevel="0" collapsed="false">
      <c r="A9" s="32" t="n">
        <v>108</v>
      </c>
      <c r="B9" s="32" t="s">
        <v>259</v>
      </c>
      <c r="C9" s="32" t="s">
        <v>253</v>
      </c>
      <c r="D9" s="33" t="n">
        <v>46149</v>
      </c>
      <c r="E9" s="33" t="n">
        <v>46149</v>
      </c>
      <c r="F9" s="32" t="s">
        <v>185</v>
      </c>
      <c r="G9" s="32" t="s">
        <v>184</v>
      </c>
      <c r="H9" s="32" t="s">
        <v>257</v>
      </c>
      <c r="I9" s="32" t="s">
        <v>260</v>
      </c>
    </row>
    <row r="10" customFormat="false" ht="15" hidden="false" customHeight="false" outlineLevel="0" collapsed="false">
      <c r="A10" s="29" t="n">
        <v>109</v>
      </c>
      <c r="B10" s="29" t="s">
        <v>259</v>
      </c>
      <c r="C10" s="29" t="s">
        <v>253</v>
      </c>
      <c r="D10" s="30" t="n">
        <v>46143</v>
      </c>
      <c r="E10" s="30" t="n">
        <v>46143</v>
      </c>
      <c r="F10" s="29" t="s">
        <v>130</v>
      </c>
      <c r="G10" s="29" t="s">
        <v>128</v>
      </c>
      <c r="H10" s="29" t="s">
        <v>254</v>
      </c>
      <c r="I10" s="29" t="s">
        <v>255</v>
      </c>
    </row>
    <row r="11" customFormat="false" ht="15" hidden="false" customHeight="false" outlineLevel="0" collapsed="false">
      <c r="A11" s="32" t="n">
        <v>110</v>
      </c>
      <c r="B11" s="32" t="s">
        <v>259</v>
      </c>
      <c r="C11" s="32" t="s">
        <v>253</v>
      </c>
      <c r="D11" s="33" t="n">
        <v>46142</v>
      </c>
      <c r="E11" s="33" t="n">
        <v>46142</v>
      </c>
      <c r="F11" s="32" t="s">
        <v>113</v>
      </c>
      <c r="G11" s="32" t="s">
        <v>110</v>
      </c>
      <c r="H11" s="32" t="s">
        <v>257</v>
      </c>
      <c r="I11" s="32" t="s">
        <v>256</v>
      </c>
    </row>
    <row r="12" customFormat="false" ht="15" hidden="false" customHeight="false" outlineLevel="0" collapsed="false">
      <c r="A12" s="29" t="n">
        <v>111</v>
      </c>
      <c r="B12" s="29" t="s">
        <v>261</v>
      </c>
      <c r="C12" s="29" t="s">
        <v>262</v>
      </c>
      <c r="D12" s="30" t="n">
        <v>46102</v>
      </c>
      <c r="E12" s="30" t="n">
        <v>46102</v>
      </c>
      <c r="F12" s="29" t="s">
        <v>205</v>
      </c>
      <c r="G12" s="29" t="s">
        <v>203</v>
      </c>
      <c r="H12" s="29" t="s">
        <v>257</v>
      </c>
      <c r="I12" s="29" t="s">
        <v>260</v>
      </c>
    </row>
    <row r="13" customFormat="false" ht="15" hidden="false" customHeight="false" outlineLevel="0" collapsed="false">
      <c r="A13" s="32" t="n">
        <v>112</v>
      </c>
      <c r="B13" s="32" t="s">
        <v>261</v>
      </c>
      <c r="C13" s="32" t="s">
        <v>262</v>
      </c>
      <c r="D13" s="33" t="n">
        <v>46104</v>
      </c>
      <c r="E13" s="33" t="n">
        <v>46104</v>
      </c>
      <c r="F13" s="32" t="s">
        <v>150</v>
      </c>
      <c r="G13" s="32" t="s">
        <v>148</v>
      </c>
      <c r="H13" s="32" t="s">
        <v>254</v>
      </c>
      <c r="I13" s="32" t="s">
        <v>255</v>
      </c>
    </row>
    <row r="14" customFormat="false" ht="15" hidden="false" customHeight="false" outlineLevel="0" collapsed="false">
      <c r="A14" s="29" t="n">
        <v>113</v>
      </c>
      <c r="B14" s="29" t="s">
        <v>261</v>
      </c>
      <c r="C14" s="29" t="s">
        <v>262</v>
      </c>
      <c r="D14" s="30" t="n">
        <v>46101</v>
      </c>
      <c r="E14" s="30" t="n">
        <v>46101</v>
      </c>
      <c r="F14" s="29" t="s">
        <v>117</v>
      </c>
      <c r="G14" s="29" t="s">
        <v>115</v>
      </c>
      <c r="H14" s="29" t="s">
        <v>257</v>
      </c>
      <c r="I14" s="29" t="s">
        <v>258</v>
      </c>
    </row>
    <row r="15" customFormat="false" ht="15" hidden="false" customHeight="false" outlineLevel="0" collapsed="false">
      <c r="A15" s="32" t="n">
        <v>114</v>
      </c>
      <c r="B15" s="32" t="s">
        <v>261</v>
      </c>
      <c r="C15" s="32" t="s">
        <v>262</v>
      </c>
      <c r="D15" s="33" t="n">
        <v>46099</v>
      </c>
      <c r="E15" s="33" t="n">
        <v>46099</v>
      </c>
      <c r="F15" s="32" t="s">
        <v>138</v>
      </c>
      <c r="G15" s="32" t="s">
        <v>136</v>
      </c>
      <c r="H15" s="32" t="s">
        <v>257</v>
      </c>
      <c r="I15" s="32" t="s">
        <v>255</v>
      </c>
    </row>
    <row r="16" customFormat="false" ht="15" hidden="false" customHeight="false" outlineLevel="0" collapsed="false">
      <c r="A16" s="29" t="n">
        <v>115</v>
      </c>
      <c r="B16" s="29" t="s">
        <v>261</v>
      </c>
      <c r="C16" s="29" t="s">
        <v>262</v>
      </c>
      <c r="D16" s="30" t="n">
        <v>46099</v>
      </c>
      <c r="E16" s="30" t="n">
        <v>46099</v>
      </c>
      <c r="F16" s="29" t="s">
        <v>170</v>
      </c>
      <c r="G16" s="29" t="s">
        <v>168</v>
      </c>
      <c r="H16" s="29" t="s">
        <v>254</v>
      </c>
      <c r="I16" s="29" t="s">
        <v>256</v>
      </c>
    </row>
    <row r="17" customFormat="false" ht="15" hidden="false" customHeight="false" outlineLevel="0" collapsed="false">
      <c r="A17" s="32" t="n">
        <v>116</v>
      </c>
      <c r="B17" s="32" t="s">
        <v>263</v>
      </c>
      <c r="C17" s="32" t="s">
        <v>264</v>
      </c>
      <c r="D17" s="33" t="n">
        <v>46200</v>
      </c>
      <c r="E17" s="33" t="n">
        <v>46200</v>
      </c>
      <c r="F17" s="32" t="s">
        <v>158</v>
      </c>
      <c r="G17" s="32" t="s">
        <v>156</v>
      </c>
      <c r="H17" s="32" t="s">
        <v>254</v>
      </c>
      <c r="I17" s="32" t="s">
        <v>256</v>
      </c>
    </row>
    <row r="18" customFormat="false" ht="15" hidden="false" customHeight="false" outlineLevel="0" collapsed="false">
      <c r="A18" s="29" t="n">
        <v>117</v>
      </c>
      <c r="B18" s="29" t="s">
        <v>263</v>
      </c>
      <c r="C18" s="29" t="s">
        <v>264</v>
      </c>
      <c r="D18" s="30" t="n">
        <v>46200</v>
      </c>
      <c r="E18" s="30" t="n">
        <v>46200</v>
      </c>
      <c r="F18" s="29" t="s">
        <v>170</v>
      </c>
      <c r="G18" s="29" t="s">
        <v>168</v>
      </c>
      <c r="H18" s="29" t="s">
        <v>254</v>
      </c>
      <c r="I18" s="29" t="s">
        <v>258</v>
      </c>
    </row>
    <row r="19" customFormat="false" ht="15" hidden="false" customHeight="false" outlineLevel="0" collapsed="false">
      <c r="A19" s="32" t="n">
        <v>118</v>
      </c>
      <c r="B19" s="32" t="s">
        <v>263</v>
      </c>
      <c r="C19" s="32" t="s">
        <v>264</v>
      </c>
      <c r="D19" s="33" t="n">
        <v>46199</v>
      </c>
      <c r="E19" s="33" t="n">
        <v>46199</v>
      </c>
      <c r="F19" s="32" t="s">
        <v>138</v>
      </c>
      <c r="G19" s="32" t="s">
        <v>136</v>
      </c>
      <c r="H19" s="32" t="s">
        <v>257</v>
      </c>
      <c r="I19" s="32" t="s">
        <v>260</v>
      </c>
    </row>
    <row r="20" customFormat="false" ht="15" hidden="false" customHeight="false" outlineLevel="0" collapsed="false">
      <c r="A20" s="29" t="n">
        <v>119</v>
      </c>
      <c r="B20" s="29" t="s">
        <v>265</v>
      </c>
      <c r="C20" s="29" t="s">
        <v>266</v>
      </c>
      <c r="D20" s="30" t="n">
        <v>46154</v>
      </c>
      <c r="E20" s="30" t="n">
        <v>46154</v>
      </c>
      <c r="F20" s="29" t="s">
        <v>182</v>
      </c>
      <c r="G20" s="29" t="s">
        <v>179</v>
      </c>
      <c r="H20" s="29" t="s">
        <v>254</v>
      </c>
      <c r="I20" s="29" t="s">
        <v>260</v>
      </c>
    </row>
    <row r="21" customFormat="false" ht="15" hidden="false" customHeight="false" outlineLevel="0" collapsed="false">
      <c r="A21" s="32" t="n">
        <v>120</v>
      </c>
      <c r="B21" s="32" t="s">
        <v>265</v>
      </c>
      <c r="C21" s="32" t="s">
        <v>266</v>
      </c>
      <c r="D21" s="33" t="n">
        <v>46157</v>
      </c>
      <c r="E21" s="33" t="n">
        <v>46157</v>
      </c>
      <c r="F21" s="32" t="s">
        <v>185</v>
      </c>
      <c r="G21" s="32" t="s">
        <v>184</v>
      </c>
      <c r="H21" s="32" t="s">
        <v>257</v>
      </c>
      <c r="I21" s="32" t="s">
        <v>256</v>
      </c>
    </row>
    <row r="22" customFormat="false" ht="15" hidden="false" customHeight="false" outlineLevel="0" collapsed="false">
      <c r="A22" s="29" t="n">
        <v>121</v>
      </c>
      <c r="B22" s="29" t="s">
        <v>265</v>
      </c>
      <c r="C22" s="29" t="s">
        <v>266</v>
      </c>
      <c r="D22" s="30" t="n">
        <v>46157</v>
      </c>
      <c r="E22" s="30" t="n">
        <v>46157</v>
      </c>
      <c r="F22" s="29" t="s">
        <v>146</v>
      </c>
      <c r="G22" s="29" t="s">
        <v>144</v>
      </c>
      <c r="H22" s="29" t="s">
        <v>257</v>
      </c>
      <c r="I22" s="29" t="s">
        <v>260</v>
      </c>
    </row>
    <row r="23" customFormat="false" ht="15" hidden="false" customHeight="false" outlineLevel="0" collapsed="false">
      <c r="A23" s="32" t="n">
        <v>122</v>
      </c>
      <c r="B23" s="32" t="s">
        <v>265</v>
      </c>
      <c r="C23" s="32" t="s">
        <v>266</v>
      </c>
      <c r="D23" s="33" t="n">
        <v>46157</v>
      </c>
      <c r="E23" s="33" t="n">
        <v>46157</v>
      </c>
      <c r="F23" s="32" t="s">
        <v>150</v>
      </c>
      <c r="G23" s="32" t="s">
        <v>148</v>
      </c>
      <c r="H23" s="32" t="s">
        <v>257</v>
      </c>
      <c r="I23" s="32" t="s">
        <v>260</v>
      </c>
    </row>
    <row r="24" customFormat="false" ht="15" hidden="false" customHeight="false" outlineLevel="0" collapsed="false">
      <c r="A24" s="29" t="n">
        <v>123</v>
      </c>
      <c r="B24" s="29" t="s">
        <v>267</v>
      </c>
      <c r="C24" s="29" t="s">
        <v>268</v>
      </c>
      <c r="D24" s="30" t="n">
        <v>46110</v>
      </c>
      <c r="E24" s="30" t="n">
        <v>46110</v>
      </c>
      <c r="F24" s="29" t="s">
        <v>182</v>
      </c>
      <c r="G24" s="29" t="s">
        <v>179</v>
      </c>
      <c r="H24" s="29" t="s">
        <v>257</v>
      </c>
      <c r="I24" s="29" t="s">
        <v>258</v>
      </c>
    </row>
    <row r="25" customFormat="false" ht="15" hidden="false" customHeight="false" outlineLevel="0" collapsed="false">
      <c r="A25" s="32" t="n">
        <v>124</v>
      </c>
      <c r="B25" s="32" t="s">
        <v>267</v>
      </c>
      <c r="C25" s="32" t="s">
        <v>268</v>
      </c>
      <c r="D25" s="33" t="n">
        <v>46110</v>
      </c>
      <c r="E25" s="33" t="n">
        <v>46110</v>
      </c>
      <c r="F25" s="32" t="s">
        <v>197</v>
      </c>
      <c r="G25" s="32" t="s">
        <v>195</v>
      </c>
      <c r="H25" s="32" t="s">
        <v>257</v>
      </c>
      <c r="I25" s="32" t="s">
        <v>255</v>
      </c>
    </row>
    <row r="26" customFormat="false" ht="15" hidden="false" customHeight="false" outlineLevel="0" collapsed="false">
      <c r="A26" s="29" t="n">
        <v>125</v>
      </c>
      <c r="B26" s="29" t="s">
        <v>267</v>
      </c>
      <c r="C26" s="29" t="s">
        <v>268</v>
      </c>
      <c r="D26" s="30" t="n">
        <v>46114</v>
      </c>
      <c r="E26" s="30" t="n">
        <v>46114</v>
      </c>
      <c r="F26" s="29" t="s">
        <v>158</v>
      </c>
      <c r="G26" s="29" t="s">
        <v>156</v>
      </c>
      <c r="H26" s="29" t="s">
        <v>257</v>
      </c>
      <c r="I26" s="29" t="s">
        <v>260</v>
      </c>
    </row>
    <row r="27" customFormat="false" ht="15" hidden="false" customHeight="false" outlineLevel="0" collapsed="false">
      <c r="A27" s="32" t="n">
        <v>126</v>
      </c>
      <c r="B27" s="32" t="s">
        <v>269</v>
      </c>
      <c r="C27" s="32" t="s">
        <v>270</v>
      </c>
      <c r="D27" s="33" t="n">
        <v>46085</v>
      </c>
      <c r="E27" s="33" t="n">
        <v>46085</v>
      </c>
      <c r="F27" s="32" t="s">
        <v>193</v>
      </c>
      <c r="G27" s="32" t="s">
        <v>191</v>
      </c>
      <c r="H27" s="32" t="s">
        <v>257</v>
      </c>
      <c r="I27" s="32" t="s">
        <v>260</v>
      </c>
    </row>
    <row r="28" customFormat="false" ht="15" hidden="false" customHeight="false" outlineLevel="0" collapsed="false">
      <c r="A28" s="29" t="n">
        <v>127</v>
      </c>
      <c r="B28" s="29" t="s">
        <v>269</v>
      </c>
      <c r="C28" s="29" t="s">
        <v>270</v>
      </c>
      <c r="D28" s="30" t="n">
        <v>46087</v>
      </c>
      <c r="E28" s="30" t="n">
        <v>46087</v>
      </c>
      <c r="F28" s="29" t="s">
        <v>113</v>
      </c>
      <c r="G28" s="29" t="s">
        <v>110</v>
      </c>
      <c r="H28" s="29" t="s">
        <v>257</v>
      </c>
      <c r="I28" s="29" t="s">
        <v>256</v>
      </c>
    </row>
    <row r="29" customFormat="false" ht="15" hidden="false" customHeight="false" outlineLevel="0" collapsed="false">
      <c r="A29" s="32" t="n">
        <v>128</v>
      </c>
      <c r="B29" s="32" t="s">
        <v>269</v>
      </c>
      <c r="C29" s="32" t="s">
        <v>270</v>
      </c>
      <c r="D29" s="33" t="n">
        <v>46084</v>
      </c>
      <c r="E29" s="33" t="n">
        <v>46084</v>
      </c>
      <c r="F29" s="32" t="s">
        <v>126</v>
      </c>
      <c r="G29" s="32" t="s">
        <v>124</v>
      </c>
      <c r="H29" s="32" t="s">
        <v>254</v>
      </c>
      <c r="I29" s="32" t="s">
        <v>256</v>
      </c>
    </row>
    <row r="30" customFormat="false" ht="15" hidden="false" customHeight="false" outlineLevel="0" collapsed="false">
      <c r="A30" s="29" t="n">
        <v>129</v>
      </c>
      <c r="B30" s="29" t="s">
        <v>269</v>
      </c>
      <c r="C30" s="29" t="s">
        <v>270</v>
      </c>
      <c r="D30" s="30" t="n">
        <v>46079</v>
      </c>
      <c r="E30" s="30" t="n">
        <v>46079</v>
      </c>
      <c r="F30" s="29" t="s">
        <v>177</v>
      </c>
      <c r="G30" s="29" t="s">
        <v>175</v>
      </c>
      <c r="H30" s="29" t="s">
        <v>254</v>
      </c>
      <c r="I30" s="29" t="s">
        <v>255</v>
      </c>
    </row>
    <row r="31" customFormat="false" ht="15" hidden="false" customHeight="false" outlineLevel="0" collapsed="false">
      <c r="A31" s="32" t="n">
        <v>130</v>
      </c>
      <c r="B31" s="32" t="s">
        <v>271</v>
      </c>
      <c r="C31" s="32" t="s">
        <v>272</v>
      </c>
      <c r="D31" s="33" t="n">
        <v>46043</v>
      </c>
      <c r="E31" s="33" t="n">
        <v>46043</v>
      </c>
      <c r="F31" s="32" t="s">
        <v>193</v>
      </c>
      <c r="G31" s="32" t="s">
        <v>191</v>
      </c>
      <c r="H31" s="32" t="s">
        <v>257</v>
      </c>
      <c r="I31" s="32" t="s">
        <v>258</v>
      </c>
    </row>
    <row r="32" customFormat="false" ht="15" hidden="false" customHeight="false" outlineLevel="0" collapsed="false">
      <c r="A32" s="29" t="n">
        <v>131</v>
      </c>
      <c r="B32" s="29" t="s">
        <v>271</v>
      </c>
      <c r="C32" s="29" t="s">
        <v>272</v>
      </c>
      <c r="D32" s="30" t="n">
        <v>46044</v>
      </c>
      <c r="E32" s="30" t="n">
        <v>46044</v>
      </c>
      <c r="F32" s="29" t="s">
        <v>205</v>
      </c>
      <c r="G32" s="29" t="s">
        <v>203</v>
      </c>
      <c r="H32" s="29" t="s">
        <v>257</v>
      </c>
      <c r="I32" s="29" t="s">
        <v>258</v>
      </c>
    </row>
    <row r="33" customFormat="false" ht="15" hidden="false" customHeight="false" outlineLevel="0" collapsed="false">
      <c r="A33" s="32" t="n">
        <v>132</v>
      </c>
      <c r="B33" s="32" t="s">
        <v>271</v>
      </c>
      <c r="C33" s="32" t="s">
        <v>272</v>
      </c>
      <c r="D33" s="33" t="n">
        <v>46042</v>
      </c>
      <c r="E33" s="33" t="n">
        <v>46042</v>
      </c>
      <c r="F33" s="32" t="s">
        <v>146</v>
      </c>
      <c r="G33" s="32" t="s">
        <v>144</v>
      </c>
      <c r="H33" s="32" t="s">
        <v>254</v>
      </c>
      <c r="I33" s="32" t="s">
        <v>255</v>
      </c>
    </row>
    <row r="34" customFormat="false" ht="15" hidden="false" customHeight="false" outlineLevel="0" collapsed="false">
      <c r="A34" s="29" t="n">
        <v>133</v>
      </c>
      <c r="B34" s="29" t="s">
        <v>271</v>
      </c>
      <c r="C34" s="29" t="s">
        <v>272</v>
      </c>
      <c r="D34" s="30" t="n">
        <v>46044</v>
      </c>
      <c r="E34" s="30" t="n">
        <v>46044</v>
      </c>
      <c r="F34" s="29" t="s">
        <v>150</v>
      </c>
      <c r="G34" s="29" t="s">
        <v>148</v>
      </c>
      <c r="H34" s="29" t="s">
        <v>257</v>
      </c>
      <c r="I34" s="29" t="s">
        <v>255</v>
      </c>
    </row>
    <row r="35" customFormat="false" ht="15" hidden="false" customHeight="false" outlineLevel="0" collapsed="false">
      <c r="A35" s="32" t="n">
        <v>134</v>
      </c>
      <c r="B35" s="32" t="s">
        <v>273</v>
      </c>
      <c r="C35" s="32" t="s">
        <v>274</v>
      </c>
      <c r="D35" s="33" t="n">
        <v>46114</v>
      </c>
      <c r="E35" s="33" t="n">
        <v>46114</v>
      </c>
      <c r="F35" s="32" t="s">
        <v>197</v>
      </c>
      <c r="G35" s="32" t="s">
        <v>195</v>
      </c>
      <c r="H35" s="32" t="s">
        <v>257</v>
      </c>
      <c r="I35" s="32" t="s">
        <v>258</v>
      </c>
    </row>
    <row r="36" customFormat="false" ht="15" hidden="false" customHeight="false" outlineLevel="0" collapsed="false">
      <c r="A36" s="29" t="n">
        <v>135</v>
      </c>
      <c r="B36" s="29" t="s">
        <v>273</v>
      </c>
      <c r="C36" s="29" t="s">
        <v>274</v>
      </c>
      <c r="D36" s="30" t="n">
        <v>46115</v>
      </c>
      <c r="E36" s="30" t="n">
        <v>46115</v>
      </c>
      <c r="F36" s="29" t="s">
        <v>185</v>
      </c>
      <c r="G36" s="29" t="s">
        <v>184</v>
      </c>
      <c r="H36" s="29" t="s">
        <v>257</v>
      </c>
      <c r="I36" s="29" t="s">
        <v>258</v>
      </c>
    </row>
    <row r="37" customFormat="false" ht="15" hidden="false" customHeight="false" outlineLevel="0" collapsed="false">
      <c r="A37" s="32" t="n">
        <v>136</v>
      </c>
      <c r="B37" s="32" t="s">
        <v>273</v>
      </c>
      <c r="C37" s="32" t="s">
        <v>274</v>
      </c>
      <c r="D37" s="33" t="n">
        <v>46114</v>
      </c>
      <c r="E37" s="33" t="n">
        <v>46114</v>
      </c>
      <c r="F37" s="32" t="s">
        <v>138</v>
      </c>
      <c r="G37" s="32" t="s">
        <v>136</v>
      </c>
      <c r="H37" s="32" t="s">
        <v>254</v>
      </c>
      <c r="I37" s="32" t="s">
        <v>260</v>
      </c>
    </row>
    <row r="38" customFormat="false" ht="15" hidden="false" customHeight="false" outlineLevel="0" collapsed="false">
      <c r="A38" s="29" t="n">
        <v>137</v>
      </c>
      <c r="B38" s="29" t="s">
        <v>275</v>
      </c>
      <c r="C38" s="29" t="s">
        <v>276</v>
      </c>
      <c r="D38" s="30" t="n">
        <v>46084</v>
      </c>
      <c r="E38" s="30" t="n">
        <v>46084</v>
      </c>
      <c r="F38" s="29" t="s">
        <v>182</v>
      </c>
      <c r="G38" s="29" t="s">
        <v>179</v>
      </c>
      <c r="H38" s="29" t="s">
        <v>257</v>
      </c>
      <c r="I38" s="29" t="s">
        <v>256</v>
      </c>
    </row>
    <row r="39" customFormat="false" ht="15" hidden="false" customHeight="false" outlineLevel="0" collapsed="false">
      <c r="A39" s="32" t="n">
        <v>138</v>
      </c>
      <c r="B39" s="32" t="s">
        <v>275</v>
      </c>
      <c r="C39" s="32" t="s">
        <v>276</v>
      </c>
      <c r="D39" s="33" t="n">
        <v>46085</v>
      </c>
      <c r="E39" s="33" t="n">
        <v>46085</v>
      </c>
      <c r="F39" s="32" t="s">
        <v>138</v>
      </c>
      <c r="G39" s="32" t="s">
        <v>136</v>
      </c>
      <c r="H39" s="32" t="s">
        <v>257</v>
      </c>
      <c r="I39" s="32" t="s">
        <v>258</v>
      </c>
    </row>
    <row r="40" customFormat="false" ht="15" hidden="false" customHeight="false" outlineLevel="0" collapsed="false">
      <c r="A40" s="29" t="n">
        <v>139</v>
      </c>
      <c r="B40" s="29" t="s">
        <v>275</v>
      </c>
      <c r="C40" s="29" t="s">
        <v>276</v>
      </c>
      <c r="D40" s="30" t="n">
        <v>46076</v>
      </c>
      <c r="E40" s="30" t="n">
        <v>46076</v>
      </c>
      <c r="F40" s="29" t="s">
        <v>117</v>
      </c>
      <c r="G40" s="29" t="s">
        <v>115</v>
      </c>
      <c r="H40" s="29" t="s">
        <v>254</v>
      </c>
      <c r="I40" s="29" t="s">
        <v>260</v>
      </c>
    </row>
    <row r="41" customFormat="false" ht="15" hidden="false" customHeight="false" outlineLevel="0" collapsed="false">
      <c r="A41" s="32" t="n">
        <v>140</v>
      </c>
      <c r="B41" s="32" t="s">
        <v>275</v>
      </c>
      <c r="C41" s="32" t="s">
        <v>276</v>
      </c>
      <c r="D41" s="33" t="n">
        <v>46078</v>
      </c>
      <c r="E41" s="33" t="n">
        <v>46078</v>
      </c>
      <c r="F41" s="32" t="s">
        <v>170</v>
      </c>
      <c r="G41" s="32" t="s">
        <v>168</v>
      </c>
      <c r="H41" s="32" t="s">
        <v>257</v>
      </c>
      <c r="I41" s="32" t="s">
        <v>258</v>
      </c>
    </row>
    <row r="42" customFormat="false" ht="15" hidden="false" customHeight="false" outlineLevel="0" collapsed="false">
      <c r="A42" s="29" t="n">
        <v>141</v>
      </c>
      <c r="B42" s="29" t="s">
        <v>275</v>
      </c>
      <c r="C42" s="29" t="s">
        <v>276</v>
      </c>
      <c r="D42" s="30" t="n">
        <v>46077</v>
      </c>
      <c r="E42" s="30" t="n">
        <v>46077</v>
      </c>
      <c r="F42" s="29" t="s">
        <v>185</v>
      </c>
      <c r="G42" s="29" t="s">
        <v>184</v>
      </c>
      <c r="H42" s="29" t="s">
        <v>257</v>
      </c>
      <c r="I42" s="29" t="s">
        <v>258</v>
      </c>
    </row>
    <row r="43" customFormat="false" ht="15" hidden="false" customHeight="false" outlineLevel="0" collapsed="false">
      <c r="A43" s="32" t="n">
        <v>142</v>
      </c>
      <c r="B43" s="32" t="s">
        <v>275</v>
      </c>
      <c r="C43" s="32" t="s">
        <v>276</v>
      </c>
      <c r="D43" s="33" t="n">
        <v>46076</v>
      </c>
      <c r="E43" s="33" t="n">
        <v>46076</v>
      </c>
      <c r="F43" s="32" t="s">
        <v>126</v>
      </c>
      <c r="G43" s="32" t="s">
        <v>124</v>
      </c>
      <c r="H43" s="32" t="s">
        <v>257</v>
      </c>
      <c r="I43" s="32" t="s">
        <v>258</v>
      </c>
    </row>
    <row r="44" customFormat="false" ht="15" hidden="false" customHeight="false" outlineLevel="0" collapsed="false">
      <c r="A44" s="29" t="n">
        <v>143</v>
      </c>
      <c r="B44" s="29" t="s">
        <v>277</v>
      </c>
      <c r="C44" s="29" t="s">
        <v>278</v>
      </c>
      <c r="D44" s="30" t="n">
        <v>46122</v>
      </c>
      <c r="E44" s="30" t="n">
        <v>46122</v>
      </c>
      <c r="F44" s="29" t="s">
        <v>138</v>
      </c>
      <c r="G44" s="29" t="s">
        <v>136</v>
      </c>
      <c r="H44" s="29" t="s">
        <v>257</v>
      </c>
      <c r="I44" s="29" t="s">
        <v>256</v>
      </c>
    </row>
    <row r="45" customFormat="false" ht="15" hidden="false" customHeight="false" outlineLevel="0" collapsed="false">
      <c r="A45" s="32" t="n">
        <v>144</v>
      </c>
      <c r="B45" s="32" t="s">
        <v>277</v>
      </c>
      <c r="C45" s="32" t="s">
        <v>278</v>
      </c>
      <c r="D45" s="33" t="n">
        <v>46118</v>
      </c>
      <c r="E45" s="33" t="n">
        <v>46118</v>
      </c>
      <c r="F45" s="32" t="s">
        <v>117</v>
      </c>
      <c r="G45" s="32" t="s">
        <v>115</v>
      </c>
      <c r="H45" s="32" t="s">
        <v>257</v>
      </c>
      <c r="I45" s="32" t="s">
        <v>258</v>
      </c>
    </row>
    <row r="46" customFormat="false" ht="15" hidden="false" customHeight="false" outlineLevel="0" collapsed="false">
      <c r="A46" s="29" t="n">
        <v>145</v>
      </c>
      <c r="B46" s="29" t="s">
        <v>277</v>
      </c>
      <c r="C46" s="29" t="s">
        <v>278</v>
      </c>
      <c r="D46" s="30" t="n">
        <v>46114</v>
      </c>
      <c r="E46" s="30" t="n">
        <v>46114</v>
      </c>
      <c r="F46" s="29" t="s">
        <v>182</v>
      </c>
      <c r="G46" s="29" t="s">
        <v>179</v>
      </c>
      <c r="H46" s="29" t="s">
        <v>254</v>
      </c>
      <c r="I46" s="29" t="s">
        <v>260</v>
      </c>
    </row>
    <row r="47" customFormat="false" ht="15" hidden="false" customHeight="false" outlineLevel="0" collapsed="false">
      <c r="A47" s="32" t="n">
        <v>146</v>
      </c>
      <c r="B47" s="32" t="s">
        <v>277</v>
      </c>
      <c r="C47" s="32" t="s">
        <v>278</v>
      </c>
      <c r="D47" s="33" t="n">
        <v>46121</v>
      </c>
      <c r="E47" s="33" t="n">
        <v>46121</v>
      </c>
      <c r="F47" s="32" t="s">
        <v>150</v>
      </c>
      <c r="G47" s="32" t="s">
        <v>148</v>
      </c>
      <c r="H47" s="32" t="s">
        <v>257</v>
      </c>
      <c r="I47" s="32" t="s">
        <v>255</v>
      </c>
    </row>
    <row r="48" customFormat="false" ht="15" hidden="false" customHeight="false" outlineLevel="0" collapsed="false">
      <c r="A48" s="29" t="n">
        <v>147</v>
      </c>
      <c r="B48" s="29" t="s">
        <v>277</v>
      </c>
      <c r="C48" s="29" t="s">
        <v>278</v>
      </c>
      <c r="D48" s="30" t="n">
        <v>46115</v>
      </c>
      <c r="E48" s="30" t="n">
        <v>46115</v>
      </c>
      <c r="F48" s="29" t="s">
        <v>177</v>
      </c>
      <c r="G48" s="29" t="s">
        <v>175</v>
      </c>
      <c r="H48" s="29" t="s">
        <v>257</v>
      </c>
      <c r="I48" s="29" t="s">
        <v>256</v>
      </c>
    </row>
    <row r="49" customFormat="false" ht="15" hidden="false" customHeight="false" outlineLevel="0" collapsed="false">
      <c r="A49" s="32" t="n">
        <v>148</v>
      </c>
      <c r="B49" s="32" t="s">
        <v>277</v>
      </c>
      <c r="C49" s="32" t="s">
        <v>278</v>
      </c>
      <c r="D49" s="33" t="n">
        <v>46118</v>
      </c>
      <c r="E49" s="33" t="n">
        <v>46118</v>
      </c>
      <c r="F49" s="32" t="s">
        <v>185</v>
      </c>
      <c r="G49" s="32" t="s">
        <v>184</v>
      </c>
      <c r="H49" s="32" t="s">
        <v>257</v>
      </c>
      <c r="I49" s="32" t="s">
        <v>258</v>
      </c>
    </row>
    <row r="50" customFormat="false" ht="15" hidden="false" customHeight="false" outlineLevel="0" collapsed="false">
      <c r="A50" s="29" t="n">
        <v>149</v>
      </c>
      <c r="B50" s="29" t="s">
        <v>279</v>
      </c>
      <c r="C50" s="29" t="s">
        <v>276</v>
      </c>
      <c r="D50" s="30" t="n">
        <v>46179</v>
      </c>
      <c r="E50" s="30" t="n">
        <v>46179</v>
      </c>
      <c r="F50" s="29" t="s">
        <v>138</v>
      </c>
      <c r="G50" s="29" t="s">
        <v>136</v>
      </c>
      <c r="H50" s="29" t="s">
        <v>254</v>
      </c>
      <c r="I50" s="29" t="s">
        <v>258</v>
      </c>
    </row>
    <row r="51" customFormat="false" ht="15" hidden="false" customHeight="false" outlineLevel="0" collapsed="false">
      <c r="A51" s="32" t="n">
        <v>150</v>
      </c>
      <c r="B51" s="32" t="s">
        <v>279</v>
      </c>
      <c r="C51" s="32" t="s">
        <v>276</v>
      </c>
      <c r="D51" s="33" t="n">
        <v>46183</v>
      </c>
      <c r="E51" s="33" t="n">
        <v>46183</v>
      </c>
      <c r="F51" s="32" t="s">
        <v>182</v>
      </c>
      <c r="G51" s="32" t="s">
        <v>179</v>
      </c>
      <c r="H51" s="32" t="s">
        <v>254</v>
      </c>
      <c r="I51" s="32" t="s">
        <v>260</v>
      </c>
    </row>
    <row r="52" customFormat="false" ht="15" hidden="false" customHeight="false" outlineLevel="0" collapsed="false">
      <c r="A52" s="29" t="n">
        <v>151</v>
      </c>
      <c r="B52" s="29" t="s">
        <v>279</v>
      </c>
      <c r="C52" s="29" t="s">
        <v>276</v>
      </c>
      <c r="D52" s="30" t="n">
        <v>46179</v>
      </c>
      <c r="E52" s="30" t="n">
        <v>46179</v>
      </c>
      <c r="F52" s="29" t="s">
        <v>113</v>
      </c>
      <c r="G52" s="29" t="s">
        <v>110</v>
      </c>
      <c r="H52" s="29" t="s">
        <v>257</v>
      </c>
      <c r="I52" s="29" t="s">
        <v>255</v>
      </c>
    </row>
    <row r="53" customFormat="false" ht="15" hidden="false" customHeight="false" outlineLevel="0" collapsed="false">
      <c r="A53" s="32" t="n">
        <v>152</v>
      </c>
      <c r="B53" s="32" t="s">
        <v>279</v>
      </c>
      <c r="C53" s="32" t="s">
        <v>276</v>
      </c>
      <c r="D53" s="33" t="n">
        <v>46182</v>
      </c>
      <c r="E53" s="33" t="n">
        <v>46182</v>
      </c>
      <c r="F53" s="32" t="s">
        <v>146</v>
      </c>
      <c r="G53" s="32" t="s">
        <v>144</v>
      </c>
      <c r="H53" s="32" t="s">
        <v>257</v>
      </c>
      <c r="I53" s="32" t="s">
        <v>260</v>
      </c>
    </row>
    <row r="54" customFormat="false" ht="15" hidden="false" customHeight="false" outlineLevel="0" collapsed="false">
      <c r="A54" s="29" t="n">
        <v>153</v>
      </c>
      <c r="B54" s="29" t="s">
        <v>279</v>
      </c>
      <c r="C54" s="29" t="s">
        <v>276</v>
      </c>
      <c r="D54" s="30" t="n">
        <v>46179</v>
      </c>
      <c r="E54" s="30" t="n">
        <v>46179</v>
      </c>
      <c r="F54" s="29" t="s">
        <v>197</v>
      </c>
      <c r="G54" s="29" t="s">
        <v>195</v>
      </c>
      <c r="H54" s="29" t="s">
        <v>254</v>
      </c>
      <c r="I54" s="29" t="s">
        <v>260</v>
      </c>
    </row>
    <row r="55" customFormat="false" ht="15" hidden="false" customHeight="false" outlineLevel="0" collapsed="false">
      <c r="A55" s="32" t="n">
        <v>154</v>
      </c>
      <c r="B55" s="32" t="s">
        <v>280</v>
      </c>
      <c r="C55" s="32" t="s">
        <v>281</v>
      </c>
      <c r="D55" s="33" t="n">
        <v>46164</v>
      </c>
      <c r="E55" s="33" t="n">
        <v>46164</v>
      </c>
      <c r="F55" s="32" t="s">
        <v>150</v>
      </c>
      <c r="G55" s="32" t="s">
        <v>148</v>
      </c>
      <c r="H55" s="32" t="s">
        <v>254</v>
      </c>
      <c r="I55" s="32" t="s">
        <v>258</v>
      </c>
    </row>
    <row r="56" customFormat="false" ht="15" hidden="false" customHeight="false" outlineLevel="0" collapsed="false">
      <c r="A56" s="29" t="n">
        <v>155</v>
      </c>
      <c r="B56" s="29" t="s">
        <v>280</v>
      </c>
      <c r="C56" s="29" t="s">
        <v>281</v>
      </c>
      <c r="D56" s="30" t="n">
        <v>46164</v>
      </c>
      <c r="E56" s="30" t="n">
        <v>46164</v>
      </c>
      <c r="F56" s="29" t="s">
        <v>166</v>
      </c>
      <c r="G56" s="29" t="s">
        <v>164</v>
      </c>
      <c r="H56" s="29" t="s">
        <v>254</v>
      </c>
      <c r="I56" s="29" t="s">
        <v>256</v>
      </c>
    </row>
    <row r="57" customFormat="false" ht="15" hidden="false" customHeight="false" outlineLevel="0" collapsed="false">
      <c r="A57" s="32" t="n">
        <v>156</v>
      </c>
      <c r="B57" s="32" t="s">
        <v>280</v>
      </c>
      <c r="C57" s="32" t="s">
        <v>281</v>
      </c>
      <c r="D57" s="33" t="n">
        <v>46169</v>
      </c>
      <c r="E57" s="33" t="n">
        <v>46169</v>
      </c>
      <c r="F57" s="32" t="s">
        <v>170</v>
      </c>
      <c r="G57" s="32" t="s">
        <v>168</v>
      </c>
      <c r="H57" s="32" t="s">
        <v>254</v>
      </c>
      <c r="I57" s="32" t="s">
        <v>256</v>
      </c>
    </row>
    <row r="58" customFormat="false" ht="15" hidden="false" customHeight="false" outlineLevel="0" collapsed="false">
      <c r="A58" s="29" t="n">
        <v>157</v>
      </c>
      <c r="B58" s="29" t="s">
        <v>280</v>
      </c>
      <c r="C58" s="29" t="s">
        <v>281</v>
      </c>
      <c r="D58" s="30" t="n">
        <v>46163</v>
      </c>
      <c r="E58" s="30" t="n">
        <v>46163</v>
      </c>
      <c r="F58" s="29" t="s">
        <v>146</v>
      </c>
      <c r="G58" s="29" t="s">
        <v>144</v>
      </c>
      <c r="H58" s="29" t="s">
        <v>257</v>
      </c>
      <c r="I58" s="29" t="s">
        <v>256</v>
      </c>
    </row>
    <row r="59" customFormat="false" ht="15" hidden="false" customHeight="false" outlineLevel="0" collapsed="false">
      <c r="A59" s="32" t="n">
        <v>158</v>
      </c>
      <c r="B59" s="32" t="s">
        <v>280</v>
      </c>
      <c r="C59" s="32" t="s">
        <v>281</v>
      </c>
      <c r="D59" s="33" t="n">
        <v>46164</v>
      </c>
      <c r="E59" s="33" t="n">
        <v>46164</v>
      </c>
      <c r="F59" s="32" t="s">
        <v>185</v>
      </c>
      <c r="G59" s="32" t="s">
        <v>184</v>
      </c>
      <c r="H59" s="32" t="s">
        <v>257</v>
      </c>
      <c r="I59" s="32" t="s">
        <v>260</v>
      </c>
    </row>
    <row r="60" customFormat="false" ht="15" hidden="false" customHeight="false" outlineLevel="0" collapsed="false">
      <c r="A60" s="29" t="n">
        <v>159</v>
      </c>
      <c r="B60" s="29" t="s">
        <v>282</v>
      </c>
      <c r="C60" s="29" t="s">
        <v>281</v>
      </c>
      <c r="D60" s="30" t="n">
        <v>46166</v>
      </c>
      <c r="E60" s="30" t="n">
        <v>46166</v>
      </c>
      <c r="F60" s="29" t="s">
        <v>166</v>
      </c>
      <c r="G60" s="29" t="s">
        <v>164</v>
      </c>
      <c r="H60" s="29" t="s">
        <v>257</v>
      </c>
      <c r="I60" s="29" t="s">
        <v>256</v>
      </c>
    </row>
    <row r="61" customFormat="false" ht="15" hidden="false" customHeight="false" outlineLevel="0" collapsed="false">
      <c r="A61" s="32" t="n">
        <v>160</v>
      </c>
      <c r="B61" s="32" t="s">
        <v>282</v>
      </c>
      <c r="C61" s="32" t="s">
        <v>281</v>
      </c>
      <c r="D61" s="33" t="n">
        <v>46164</v>
      </c>
      <c r="E61" s="33" t="n">
        <v>46164</v>
      </c>
      <c r="F61" s="32" t="s">
        <v>150</v>
      </c>
      <c r="G61" s="32" t="s">
        <v>148</v>
      </c>
      <c r="H61" s="32" t="s">
        <v>254</v>
      </c>
      <c r="I61" s="32" t="s">
        <v>256</v>
      </c>
    </row>
    <row r="62" customFormat="false" ht="15" hidden="false" customHeight="false" outlineLevel="0" collapsed="false">
      <c r="A62" s="29" t="n">
        <v>161</v>
      </c>
      <c r="B62" s="29" t="s">
        <v>282</v>
      </c>
      <c r="C62" s="29" t="s">
        <v>281</v>
      </c>
      <c r="D62" s="30" t="n">
        <v>46166</v>
      </c>
      <c r="E62" s="30" t="n">
        <v>46166</v>
      </c>
      <c r="F62" s="29" t="s">
        <v>201</v>
      </c>
      <c r="G62" s="29" t="s">
        <v>199</v>
      </c>
      <c r="H62" s="29" t="s">
        <v>257</v>
      </c>
      <c r="I62" s="29" t="s">
        <v>258</v>
      </c>
    </row>
    <row r="63" customFormat="false" ht="15" hidden="false" customHeight="false" outlineLevel="0" collapsed="false">
      <c r="A63" s="32" t="n">
        <v>162</v>
      </c>
      <c r="B63" s="32" t="s">
        <v>282</v>
      </c>
      <c r="C63" s="32" t="s">
        <v>281</v>
      </c>
      <c r="D63" s="33" t="n">
        <v>46166</v>
      </c>
      <c r="E63" s="33" t="n">
        <v>46166</v>
      </c>
      <c r="F63" s="32" t="s">
        <v>205</v>
      </c>
      <c r="G63" s="32" t="s">
        <v>203</v>
      </c>
      <c r="H63" s="32" t="s">
        <v>257</v>
      </c>
      <c r="I63" s="32" t="s">
        <v>260</v>
      </c>
    </row>
    <row r="64" customFormat="false" ht="15" hidden="false" customHeight="false" outlineLevel="0" collapsed="false">
      <c r="A64" s="29" t="n">
        <v>163</v>
      </c>
      <c r="B64" s="29" t="s">
        <v>282</v>
      </c>
      <c r="C64" s="29" t="s">
        <v>281</v>
      </c>
      <c r="D64" s="30" t="n">
        <v>46164</v>
      </c>
      <c r="E64" s="30" t="n">
        <v>46164</v>
      </c>
      <c r="F64" s="29" t="s">
        <v>197</v>
      </c>
      <c r="G64" s="29" t="s">
        <v>195</v>
      </c>
      <c r="H64" s="29" t="s">
        <v>257</v>
      </c>
      <c r="I64" s="29" t="s">
        <v>260</v>
      </c>
    </row>
    <row r="65" customFormat="false" ht="15" hidden="false" customHeight="false" outlineLevel="0" collapsed="false">
      <c r="A65" s="32" t="n">
        <v>164</v>
      </c>
      <c r="B65" s="32" t="s">
        <v>283</v>
      </c>
      <c r="C65" s="32" t="s">
        <v>284</v>
      </c>
      <c r="D65" s="33" t="n">
        <v>46168</v>
      </c>
      <c r="E65" s="33" t="n">
        <v>46168</v>
      </c>
      <c r="F65" s="32" t="s">
        <v>205</v>
      </c>
      <c r="G65" s="32" t="s">
        <v>203</v>
      </c>
      <c r="H65" s="32" t="s">
        <v>254</v>
      </c>
      <c r="I65" s="32" t="s">
        <v>255</v>
      </c>
    </row>
    <row r="66" customFormat="false" ht="15" hidden="false" customHeight="false" outlineLevel="0" collapsed="false">
      <c r="A66" s="29" t="n">
        <v>165</v>
      </c>
      <c r="B66" s="29" t="s">
        <v>283</v>
      </c>
      <c r="C66" s="29" t="s">
        <v>284</v>
      </c>
      <c r="D66" s="30" t="n">
        <v>46164</v>
      </c>
      <c r="E66" s="30" t="n">
        <v>46164</v>
      </c>
      <c r="F66" s="29" t="s">
        <v>158</v>
      </c>
      <c r="G66" s="29" t="s">
        <v>156</v>
      </c>
      <c r="H66" s="29" t="s">
        <v>257</v>
      </c>
      <c r="I66" s="29" t="s">
        <v>255</v>
      </c>
    </row>
    <row r="67" customFormat="false" ht="15" hidden="false" customHeight="false" outlineLevel="0" collapsed="false">
      <c r="A67" s="32" t="n">
        <v>166</v>
      </c>
      <c r="B67" s="32" t="s">
        <v>283</v>
      </c>
      <c r="C67" s="32" t="s">
        <v>284</v>
      </c>
      <c r="D67" s="33" t="n">
        <v>46161</v>
      </c>
      <c r="E67" s="33" t="n">
        <v>46161</v>
      </c>
      <c r="F67" s="32" t="s">
        <v>182</v>
      </c>
      <c r="G67" s="32" t="s">
        <v>179</v>
      </c>
      <c r="H67" s="32" t="s">
        <v>254</v>
      </c>
      <c r="I67" s="32" t="s">
        <v>260</v>
      </c>
    </row>
    <row r="68" customFormat="false" ht="15" hidden="false" customHeight="false" outlineLevel="0" collapsed="false">
      <c r="A68" s="29" t="n">
        <v>167</v>
      </c>
      <c r="B68" s="29" t="s">
        <v>283</v>
      </c>
      <c r="C68" s="29" t="s">
        <v>284</v>
      </c>
      <c r="D68" s="30" t="n">
        <v>46164</v>
      </c>
      <c r="E68" s="30" t="n">
        <v>46164</v>
      </c>
      <c r="F68" s="29" t="s">
        <v>130</v>
      </c>
      <c r="G68" s="29" t="s">
        <v>128</v>
      </c>
      <c r="H68" s="29" t="s">
        <v>254</v>
      </c>
      <c r="I68" s="29" t="s">
        <v>256</v>
      </c>
    </row>
    <row r="69" customFormat="false" ht="15" hidden="false" customHeight="false" outlineLevel="0" collapsed="false">
      <c r="A69" s="32" t="n">
        <v>168</v>
      </c>
      <c r="B69" s="32" t="s">
        <v>283</v>
      </c>
      <c r="C69" s="32" t="s">
        <v>284</v>
      </c>
      <c r="D69" s="33" t="n">
        <v>46165</v>
      </c>
      <c r="E69" s="33" t="n">
        <v>46165</v>
      </c>
      <c r="F69" s="32" t="s">
        <v>170</v>
      </c>
      <c r="G69" s="32" t="s">
        <v>168</v>
      </c>
      <c r="H69" s="32" t="s">
        <v>254</v>
      </c>
      <c r="I69" s="32" t="s">
        <v>258</v>
      </c>
    </row>
    <row r="70" customFormat="false" ht="15" hidden="false" customHeight="false" outlineLevel="0" collapsed="false">
      <c r="A70" s="29" t="n">
        <v>169</v>
      </c>
      <c r="B70" s="29" t="s">
        <v>285</v>
      </c>
      <c r="C70" s="29" t="s">
        <v>286</v>
      </c>
      <c r="D70" s="30" t="n">
        <v>46196</v>
      </c>
      <c r="E70" s="30" t="n">
        <v>46196</v>
      </c>
      <c r="F70" s="29" t="s">
        <v>158</v>
      </c>
      <c r="G70" s="29" t="s">
        <v>156</v>
      </c>
      <c r="H70" s="29" t="s">
        <v>254</v>
      </c>
      <c r="I70" s="29" t="s">
        <v>256</v>
      </c>
    </row>
    <row r="71" customFormat="false" ht="15" hidden="false" customHeight="false" outlineLevel="0" collapsed="false">
      <c r="A71" s="32" t="n">
        <v>170</v>
      </c>
      <c r="B71" s="32" t="s">
        <v>285</v>
      </c>
      <c r="C71" s="32" t="s">
        <v>286</v>
      </c>
      <c r="D71" s="33" t="n">
        <v>46198</v>
      </c>
      <c r="E71" s="33" t="n">
        <v>46198</v>
      </c>
      <c r="F71" s="32" t="s">
        <v>205</v>
      </c>
      <c r="G71" s="32" t="s">
        <v>203</v>
      </c>
      <c r="H71" s="32" t="s">
        <v>257</v>
      </c>
      <c r="I71" s="32" t="s">
        <v>255</v>
      </c>
    </row>
    <row r="72" customFormat="false" ht="15" hidden="false" customHeight="false" outlineLevel="0" collapsed="false">
      <c r="A72" s="29" t="n">
        <v>171</v>
      </c>
      <c r="B72" s="29" t="s">
        <v>285</v>
      </c>
      <c r="C72" s="29" t="s">
        <v>286</v>
      </c>
      <c r="D72" s="30" t="n">
        <v>46203</v>
      </c>
      <c r="E72" s="30" t="n">
        <v>46203</v>
      </c>
      <c r="F72" s="29" t="s">
        <v>130</v>
      </c>
      <c r="G72" s="29" t="s">
        <v>128</v>
      </c>
      <c r="H72" s="29" t="s">
        <v>257</v>
      </c>
      <c r="I72" s="29" t="s">
        <v>260</v>
      </c>
    </row>
    <row r="73" customFormat="false" ht="15" hidden="false" customHeight="false" outlineLevel="0" collapsed="false">
      <c r="A73" s="32" t="n">
        <v>172</v>
      </c>
      <c r="B73" s="32" t="s">
        <v>285</v>
      </c>
      <c r="C73" s="32" t="s">
        <v>286</v>
      </c>
      <c r="D73" s="33" t="n">
        <v>46201</v>
      </c>
      <c r="E73" s="33" t="n">
        <v>46201</v>
      </c>
      <c r="F73" s="32" t="s">
        <v>134</v>
      </c>
      <c r="G73" s="32" t="s">
        <v>132</v>
      </c>
      <c r="H73" s="32" t="s">
        <v>257</v>
      </c>
      <c r="I73" s="32" t="s">
        <v>258</v>
      </c>
    </row>
    <row r="74" customFormat="false" ht="15" hidden="false" customHeight="false" outlineLevel="0" collapsed="false">
      <c r="A74" s="29" t="n">
        <v>173</v>
      </c>
      <c r="B74" s="29" t="s">
        <v>285</v>
      </c>
      <c r="C74" s="29" t="s">
        <v>286</v>
      </c>
      <c r="D74" s="30" t="n">
        <v>46198</v>
      </c>
      <c r="E74" s="30" t="n">
        <v>46198</v>
      </c>
      <c r="F74" s="29" t="s">
        <v>177</v>
      </c>
      <c r="G74" s="29" t="s">
        <v>175</v>
      </c>
      <c r="H74" s="29" t="s">
        <v>257</v>
      </c>
      <c r="I74" s="29" t="s">
        <v>256</v>
      </c>
    </row>
    <row r="75" customFormat="false" ht="15" hidden="false" customHeight="false" outlineLevel="0" collapsed="false">
      <c r="A75" s="32" t="n">
        <v>174</v>
      </c>
      <c r="B75" s="32" t="s">
        <v>287</v>
      </c>
      <c r="C75" s="32" t="s">
        <v>288</v>
      </c>
      <c r="D75" s="33" t="n">
        <v>46164</v>
      </c>
      <c r="E75" s="33" t="n">
        <v>46164</v>
      </c>
      <c r="F75" s="32" t="s">
        <v>158</v>
      </c>
      <c r="G75" s="32" t="s">
        <v>156</v>
      </c>
      <c r="H75" s="32" t="s">
        <v>257</v>
      </c>
      <c r="I75" s="32" t="s">
        <v>258</v>
      </c>
    </row>
    <row r="76" customFormat="false" ht="15" hidden="false" customHeight="false" outlineLevel="0" collapsed="false">
      <c r="A76" s="29" t="n">
        <v>175</v>
      </c>
      <c r="B76" s="29" t="s">
        <v>287</v>
      </c>
      <c r="C76" s="29" t="s">
        <v>288</v>
      </c>
      <c r="D76" s="30" t="n">
        <v>46168</v>
      </c>
      <c r="E76" s="30" t="n">
        <v>46168</v>
      </c>
      <c r="F76" s="29" t="s">
        <v>205</v>
      </c>
      <c r="G76" s="29" t="s">
        <v>203</v>
      </c>
      <c r="H76" s="29" t="s">
        <v>254</v>
      </c>
      <c r="I76" s="29" t="s">
        <v>256</v>
      </c>
    </row>
    <row r="77" customFormat="false" ht="15" hidden="false" customHeight="false" outlineLevel="0" collapsed="false">
      <c r="A77" s="32" t="n">
        <v>176</v>
      </c>
      <c r="B77" s="32" t="s">
        <v>287</v>
      </c>
      <c r="C77" s="32" t="s">
        <v>288</v>
      </c>
      <c r="D77" s="33" t="n">
        <v>46166</v>
      </c>
      <c r="E77" s="33" t="n">
        <v>46166</v>
      </c>
      <c r="F77" s="32" t="s">
        <v>113</v>
      </c>
      <c r="G77" s="32" t="s">
        <v>110</v>
      </c>
      <c r="H77" s="32" t="s">
        <v>257</v>
      </c>
      <c r="I77" s="32" t="s">
        <v>258</v>
      </c>
    </row>
    <row r="78" customFormat="false" ht="15" hidden="false" customHeight="false" outlineLevel="0" collapsed="false">
      <c r="A78" s="29" t="n">
        <v>177</v>
      </c>
      <c r="B78" s="29" t="s">
        <v>287</v>
      </c>
      <c r="C78" s="29" t="s">
        <v>288</v>
      </c>
      <c r="D78" s="30" t="n">
        <v>46166</v>
      </c>
      <c r="E78" s="30" t="n">
        <v>46166</v>
      </c>
      <c r="F78" s="29" t="s">
        <v>150</v>
      </c>
      <c r="G78" s="29" t="s">
        <v>148</v>
      </c>
      <c r="H78" s="29" t="s">
        <v>254</v>
      </c>
      <c r="I78" s="29" t="s">
        <v>258</v>
      </c>
    </row>
    <row r="79" customFormat="false" ht="15" hidden="false" customHeight="false" outlineLevel="0" collapsed="false">
      <c r="A79" s="32" t="n">
        <v>178</v>
      </c>
      <c r="B79" s="32" t="s">
        <v>287</v>
      </c>
      <c r="C79" s="32" t="s">
        <v>288</v>
      </c>
      <c r="D79" s="33" t="n">
        <v>46171</v>
      </c>
      <c r="E79" s="33" t="n">
        <v>46171</v>
      </c>
      <c r="F79" s="32" t="s">
        <v>146</v>
      </c>
      <c r="G79" s="32" t="s">
        <v>144</v>
      </c>
      <c r="H79" s="32" t="s">
        <v>254</v>
      </c>
      <c r="I79" s="32" t="s">
        <v>256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8"/>
    <col collapsed="false" customWidth="true" hidden="false" outlineLevel="0" max="3" min="3" style="0" width="32"/>
    <col collapsed="false" customWidth="true" hidden="false" outlineLevel="0" max="4" min="4" style="0" width="40"/>
    <col collapsed="false" customWidth="true" hidden="false" outlineLevel="0" max="5" min="5" style="0" width="12"/>
    <col collapsed="false" customWidth="true" hidden="false" outlineLevel="0" max="6" min="6" style="0" width="16"/>
    <col collapsed="false" customWidth="true" hidden="false" outlineLevel="0" max="7" min="7" style="0" width="12"/>
    <col collapsed="false" customWidth="true" hidden="false" outlineLevel="0" max="8" min="8" style="0" width="14"/>
    <col collapsed="false" customWidth="true" hidden="false" outlineLevel="0" max="9" min="9" style="0" width="10"/>
  </cols>
  <sheetData>
    <row r="1" customFormat="false" ht="15" hidden="false" customHeight="false" outlineLevel="0" collapsed="false">
      <c r="A1" s="27" t="s">
        <v>244</v>
      </c>
      <c r="B1" s="27" t="s">
        <v>53</v>
      </c>
      <c r="C1" s="27" t="s">
        <v>54</v>
      </c>
      <c r="D1" s="27" t="s">
        <v>245</v>
      </c>
      <c r="E1" s="27" t="s">
        <v>289</v>
      </c>
      <c r="F1" s="27" t="s">
        <v>290</v>
      </c>
      <c r="G1" s="27" t="s">
        <v>291</v>
      </c>
      <c r="H1" s="28" t="s">
        <v>292</v>
      </c>
      <c r="I1" s="27" t="s">
        <v>293</v>
      </c>
    </row>
    <row r="2" customFormat="false" ht="15" hidden="false" customHeight="false" outlineLevel="0" collapsed="false">
      <c r="A2" s="29" t="s">
        <v>252</v>
      </c>
      <c r="B2" s="29" t="s">
        <v>63</v>
      </c>
      <c r="C2" s="29" t="s">
        <v>64</v>
      </c>
      <c r="D2" s="29" t="s">
        <v>253</v>
      </c>
      <c r="E2" s="30" t="n">
        <v>46072</v>
      </c>
      <c r="F2" s="29" t="s">
        <v>294</v>
      </c>
      <c r="G2" s="31" t="n">
        <v>26</v>
      </c>
      <c r="H2" s="31" t="n">
        <f aca="false">COUNTIF(Forms_Event_Registrations!$B$2:$B$500,A2)</f>
        <v>6</v>
      </c>
      <c r="I2" s="36" t="n">
        <v>267.91</v>
      </c>
    </row>
    <row r="3" customFormat="false" ht="15" hidden="false" customHeight="false" outlineLevel="0" collapsed="false">
      <c r="A3" s="32" t="s">
        <v>259</v>
      </c>
      <c r="B3" s="32" t="s">
        <v>63</v>
      </c>
      <c r="C3" s="32" t="s">
        <v>64</v>
      </c>
      <c r="D3" s="32" t="s">
        <v>253</v>
      </c>
      <c r="E3" s="33" t="n">
        <v>46151</v>
      </c>
      <c r="F3" s="32" t="s">
        <v>294</v>
      </c>
      <c r="G3" s="34" t="n">
        <v>16</v>
      </c>
      <c r="H3" s="34" t="n">
        <f aca="false">COUNTIF(Forms_Event_Registrations!$B$2:$B$500,A3)</f>
        <v>4</v>
      </c>
      <c r="I3" s="37" t="n">
        <v>539.46</v>
      </c>
    </row>
    <row r="4" customFormat="false" ht="15" hidden="false" customHeight="false" outlineLevel="0" collapsed="false">
      <c r="A4" s="29" t="s">
        <v>261</v>
      </c>
      <c r="B4" s="29" t="s">
        <v>63</v>
      </c>
      <c r="C4" s="29" t="s">
        <v>64</v>
      </c>
      <c r="D4" s="29" t="s">
        <v>262</v>
      </c>
      <c r="E4" s="30" t="n">
        <v>46106</v>
      </c>
      <c r="F4" s="29" t="s">
        <v>295</v>
      </c>
      <c r="G4" s="31" t="n">
        <v>16</v>
      </c>
      <c r="H4" s="31" t="n">
        <f aca="false">COUNTIF(Forms_Event_Registrations!$B$2:$B$500,A4)</f>
        <v>5</v>
      </c>
      <c r="I4" s="36" t="n">
        <v>375.05</v>
      </c>
    </row>
    <row r="5" customFormat="false" ht="15" hidden="false" customHeight="false" outlineLevel="0" collapsed="false">
      <c r="A5" s="32" t="s">
        <v>263</v>
      </c>
      <c r="B5" s="32" t="s">
        <v>71</v>
      </c>
      <c r="C5" s="32" t="s">
        <v>72</v>
      </c>
      <c r="D5" s="32" t="s">
        <v>264</v>
      </c>
      <c r="E5" s="33" t="n">
        <v>46201</v>
      </c>
      <c r="F5" s="32" t="s">
        <v>296</v>
      </c>
      <c r="G5" s="34" t="n">
        <v>18</v>
      </c>
      <c r="H5" s="34" t="n">
        <f aca="false">COUNTIF(Forms_Event_Registrations!$B$2:$B$500,A5)</f>
        <v>3</v>
      </c>
      <c r="I5" s="37" t="n">
        <v>349.18</v>
      </c>
    </row>
    <row r="6" customFormat="false" ht="15" hidden="false" customHeight="false" outlineLevel="0" collapsed="false">
      <c r="A6" s="29" t="s">
        <v>265</v>
      </c>
      <c r="B6" s="29" t="s">
        <v>71</v>
      </c>
      <c r="C6" s="29" t="s">
        <v>72</v>
      </c>
      <c r="D6" s="29" t="s">
        <v>266</v>
      </c>
      <c r="E6" s="30" t="n">
        <v>46159</v>
      </c>
      <c r="F6" s="29" t="s">
        <v>294</v>
      </c>
      <c r="G6" s="31" t="n">
        <v>21</v>
      </c>
      <c r="H6" s="31" t="n">
        <f aca="false">COUNTIF(Forms_Event_Registrations!$B$2:$B$500,A6)</f>
        <v>4</v>
      </c>
      <c r="I6" s="36" t="n">
        <v>334.92</v>
      </c>
    </row>
    <row r="7" customFormat="false" ht="15" hidden="false" customHeight="false" outlineLevel="0" collapsed="false">
      <c r="A7" s="32" t="s">
        <v>267</v>
      </c>
      <c r="B7" s="32" t="s">
        <v>71</v>
      </c>
      <c r="C7" s="32" t="s">
        <v>72</v>
      </c>
      <c r="D7" s="32" t="s">
        <v>268</v>
      </c>
      <c r="E7" s="33" t="n">
        <v>46119</v>
      </c>
      <c r="F7" s="32" t="s">
        <v>297</v>
      </c>
      <c r="G7" s="34" t="n">
        <v>12</v>
      </c>
      <c r="H7" s="34" t="n">
        <f aca="false">COUNTIF(Forms_Event_Registrations!$B$2:$B$500,A7)</f>
        <v>3</v>
      </c>
      <c r="I7" s="37" t="n">
        <v>205.66</v>
      </c>
    </row>
    <row r="8" customFormat="false" ht="15" hidden="false" customHeight="false" outlineLevel="0" collapsed="false">
      <c r="A8" s="29" t="s">
        <v>269</v>
      </c>
      <c r="B8" s="29" t="s">
        <v>77</v>
      </c>
      <c r="C8" s="29" t="s">
        <v>78</v>
      </c>
      <c r="D8" s="29" t="s">
        <v>270</v>
      </c>
      <c r="E8" s="30" t="n">
        <v>46088</v>
      </c>
      <c r="F8" s="29" t="s">
        <v>295</v>
      </c>
      <c r="G8" s="31" t="n">
        <v>20</v>
      </c>
      <c r="H8" s="31" t="n">
        <f aca="false">COUNTIF(Forms_Event_Registrations!$B$2:$B$500,A8)</f>
        <v>4</v>
      </c>
      <c r="I8" s="36" t="n">
        <v>196.49</v>
      </c>
    </row>
    <row r="9" customFormat="false" ht="15" hidden="false" customHeight="false" outlineLevel="0" collapsed="false">
      <c r="A9" s="32" t="s">
        <v>271</v>
      </c>
      <c r="B9" s="32" t="s">
        <v>77</v>
      </c>
      <c r="C9" s="32" t="s">
        <v>78</v>
      </c>
      <c r="D9" s="32" t="s">
        <v>272</v>
      </c>
      <c r="E9" s="33" t="n">
        <v>46049</v>
      </c>
      <c r="F9" s="32" t="s">
        <v>294</v>
      </c>
      <c r="G9" s="34" t="n">
        <v>10</v>
      </c>
      <c r="H9" s="34" t="n">
        <f aca="false">COUNTIF(Forms_Event_Registrations!$B$2:$B$500,A9)</f>
        <v>4</v>
      </c>
      <c r="I9" s="37" t="n">
        <v>353.3</v>
      </c>
    </row>
    <row r="10" customFormat="false" ht="15" hidden="false" customHeight="false" outlineLevel="0" collapsed="false">
      <c r="A10" s="29" t="s">
        <v>273</v>
      </c>
      <c r="B10" s="29" t="s">
        <v>77</v>
      </c>
      <c r="C10" s="29" t="s">
        <v>78</v>
      </c>
      <c r="D10" s="29" t="s">
        <v>274</v>
      </c>
      <c r="E10" s="30" t="n">
        <v>46120</v>
      </c>
      <c r="F10" s="29" t="s">
        <v>296</v>
      </c>
      <c r="G10" s="31" t="n">
        <v>13</v>
      </c>
      <c r="H10" s="31" t="n">
        <f aca="false">COUNTIF(Forms_Event_Registrations!$B$2:$B$500,A10)</f>
        <v>3</v>
      </c>
      <c r="I10" s="36" t="n">
        <v>598.57</v>
      </c>
    </row>
    <row r="11" customFormat="false" ht="15" hidden="false" customHeight="false" outlineLevel="0" collapsed="false">
      <c r="A11" s="32" t="s">
        <v>275</v>
      </c>
      <c r="B11" s="32" t="s">
        <v>83</v>
      </c>
      <c r="C11" s="32" t="s">
        <v>84</v>
      </c>
      <c r="D11" s="32" t="s">
        <v>276</v>
      </c>
      <c r="E11" s="33" t="n">
        <v>46086</v>
      </c>
      <c r="F11" s="32" t="s">
        <v>295</v>
      </c>
      <c r="G11" s="34" t="n">
        <v>23</v>
      </c>
      <c r="H11" s="34" t="n">
        <f aca="false">COUNTIF(Forms_Event_Registrations!$B$2:$B$500,A11)</f>
        <v>6</v>
      </c>
      <c r="I11" s="37" t="n">
        <v>529.81</v>
      </c>
    </row>
    <row r="12" customFormat="false" ht="15" hidden="false" customHeight="false" outlineLevel="0" collapsed="false">
      <c r="A12" s="29" t="s">
        <v>277</v>
      </c>
      <c r="B12" s="29" t="s">
        <v>83</v>
      </c>
      <c r="C12" s="29" t="s">
        <v>84</v>
      </c>
      <c r="D12" s="29" t="s">
        <v>278</v>
      </c>
      <c r="E12" s="30" t="n">
        <v>46123</v>
      </c>
      <c r="F12" s="29" t="s">
        <v>296</v>
      </c>
      <c r="G12" s="31" t="n">
        <v>22</v>
      </c>
      <c r="H12" s="31" t="n">
        <f aca="false">COUNTIF(Forms_Event_Registrations!$B$2:$B$500,A12)</f>
        <v>6</v>
      </c>
      <c r="I12" s="36" t="n">
        <v>344</v>
      </c>
    </row>
    <row r="13" customFormat="false" ht="15" hidden="false" customHeight="false" outlineLevel="0" collapsed="false">
      <c r="A13" s="32" t="s">
        <v>279</v>
      </c>
      <c r="B13" s="32" t="s">
        <v>83</v>
      </c>
      <c r="C13" s="32" t="s">
        <v>84</v>
      </c>
      <c r="D13" s="32" t="s">
        <v>276</v>
      </c>
      <c r="E13" s="33" t="n">
        <v>46187</v>
      </c>
      <c r="F13" s="32" t="s">
        <v>295</v>
      </c>
      <c r="G13" s="34" t="n">
        <v>15</v>
      </c>
      <c r="H13" s="34" t="n">
        <f aca="false">COUNTIF(Forms_Event_Registrations!$B$2:$B$500,A13)</f>
        <v>5</v>
      </c>
      <c r="I13" s="37" t="n">
        <v>646.07</v>
      </c>
    </row>
    <row r="14" customFormat="false" ht="15" hidden="false" customHeight="false" outlineLevel="0" collapsed="false">
      <c r="A14" s="29" t="s">
        <v>280</v>
      </c>
      <c r="B14" s="29" t="s">
        <v>89</v>
      </c>
      <c r="C14" s="29" t="s">
        <v>90</v>
      </c>
      <c r="D14" s="29" t="s">
        <v>281</v>
      </c>
      <c r="E14" s="30" t="n">
        <v>46170</v>
      </c>
      <c r="F14" s="29" t="s">
        <v>294</v>
      </c>
      <c r="G14" s="31" t="n">
        <v>24</v>
      </c>
      <c r="H14" s="31" t="n">
        <f aca="false">COUNTIF(Forms_Event_Registrations!$B$2:$B$500,A14)</f>
        <v>5</v>
      </c>
      <c r="I14" s="36" t="n">
        <v>539.71</v>
      </c>
    </row>
    <row r="15" customFormat="false" ht="15" hidden="false" customHeight="false" outlineLevel="0" collapsed="false">
      <c r="A15" s="32" t="s">
        <v>282</v>
      </c>
      <c r="B15" s="32" t="s">
        <v>89</v>
      </c>
      <c r="C15" s="32" t="s">
        <v>90</v>
      </c>
      <c r="D15" s="32" t="s">
        <v>281</v>
      </c>
      <c r="E15" s="33" t="n">
        <v>46171</v>
      </c>
      <c r="F15" s="32" t="s">
        <v>294</v>
      </c>
      <c r="G15" s="34" t="n">
        <v>29</v>
      </c>
      <c r="H15" s="34" t="n">
        <f aca="false">COUNTIF(Forms_Event_Registrations!$B$2:$B$500,A15)</f>
        <v>5</v>
      </c>
      <c r="I15" s="37" t="n">
        <v>638.77</v>
      </c>
    </row>
    <row r="16" customFormat="false" ht="15" hidden="false" customHeight="false" outlineLevel="0" collapsed="false">
      <c r="A16" s="29" t="s">
        <v>283</v>
      </c>
      <c r="B16" s="29" t="s">
        <v>95</v>
      </c>
      <c r="C16" s="29" t="s">
        <v>96</v>
      </c>
      <c r="D16" s="29" t="s">
        <v>284</v>
      </c>
      <c r="E16" s="30" t="n">
        <v>46169</v>
      </c>
      <c r="F16" s="29" t="s">
        <v>294</v>
      </c>
      <c r="G16" s="31" t="n">
        <v>27</v>
      </c>
      <c r="H16" s="31" t="n">
        <f aca="false">COUNTIF(Forms_Event_Registrations!$B$2:$B$500,A16)</f>
        <v>5</v>
      </c>
      <c r="I16" s="36" t="n">
        <v>154.66</v>
      </c>
    </row>
    <row r="17" customFormat="false" ht="15" hidden="false" customHeight="false" outlineLevel="0" collapsed="false">
      <c r="A17" s="32" t="s">
        <v>285</v>
      </c>
      <c r="B17" s="32" t="s">
        <v>95</v>
      </c>
      <c r="C17" s="32" t="s">
        <v>96</v>
      </c>
      <c r="D17" s="32" t="s">
        <v>286</v>
      </c>
      <c r="E17" s="33" t="n">
        <v>46205</v>
      </c>
      <c r="F17" s="32" t="s">
        <v>296</v>
      </c>
      <c r="G17" s="34" t="n">
        <v>26</v>
      </c>
      <c r="H17" s="34" t="n">
        <f aca="false">COUNTIF(Forms_Event_Registrations!$B$2:$B$500,A17)</f>
        <v>5</v>
      </c>
      <c r="I17" s="37" t="n">
        <v>507.21</v>
      </c>
    </row>
    <row r="18" customFormat="false" ht="15" hidden="false" customHeight="false" outlineLevel="0" collapsed="false">
      <c r="A18" s="29" t="s">
        <v>287</v>
      </c>
      <c r="B18" s="29" t="s">
        <v>95</v>
      </c>
      <c r="C18" s="29" t="s">
        <v>96</v>
      </c>
      <c r="D18" s="29" t="s">
        <v>288</v>
      </c>
      <c r="E18" s="30" t="n">
        <v>46173</v>
      </c>
      <c r="F18" s="29" t="s">
        <v>298</v>
      </c>
      <c r="G18" s="31" t="n">
        <v>16</v>
      </c>
      <c r="H18" s="31" t="n">
        <f aca="false">COUNTIF(Forms_Event_Registrations!$B$2:$B$500,A18)</f>
        <v>5</v>
      </c>
      <c r="I18" s="36" t="n">
        <v>550.91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32"/>
    <col collapsed="false" customWidth="true" hidden="false" outlineLevel="0" max="3" min="3" style="0" width="11"/>
    <col collapsed="false" customWidth="true" hidden="false" outlineLevel="0" max="4" min="4" style="0" width="14"/>
    <col collapsed="false" customWidth="true" hidden="false" outlineLevel="0" max="5" min="5" style="0" width="16"/>
    <col collapsed="false" customWidth="true" hidden="false" outlineLevel="0" max="6" min="6" style="0" width="13"/>
    <col collapsed="false" customWidth="true" hidden="false" outlineLevel="0" max="7" min="7" style="0" width="15"/>
  </cols>
  <sheetData>
    <row r="1" customFormat="false" ht="15" hidden="false" customHeight="false" outlineLevel="0" collapsed="false">
      <c r="A1" s="27" t="s">
        <v>53</v>
      </c>
      <c r="B1" s="27" t="s">
        <v>54</v>
      </c>
      <c r="C1" s="27" t="s">
        <v>299</v>
      </c>
      <c r="D1" s="27" t="s">
        <v>300</v>
      </c>
      <c r="E1" s="27" t="s">
        <v>301</v>
      </c>
      <c r="F1" s="28" t="s">
        <v>302</v>
      </c>
      <c r="G1" s="28" t="s">
        <v>303</v>
      </c>
    </row>
    <row r="2" customFormat="false" ht="15" hidden="false" customHeight="false" outlineLevel="0" collapsed="false">
      <c r="A2" s="29" t="s">
        <v>63</v>
      </c>
      <c r="B2" s="29" t="s">
        <v>64</v>
      </c>
      <c r="C2" s="29" t="s">
        <v>304</v>
      </c>
      <c r="D2" s="38" t="n">
        <v>2000</v>
      </c>
      <c r="E2" s="36" t="n">
        <v>1506.51</v>
      </c>
      <c r="F2" s="36" t="n">
        <f aca="false">D2-E2</f>
        <v>493.49</v>
      </c>
      <c r="G2" s="39" t="n">
        <f aca="false">E2/D2</f>
        <v>0.753255</v>
      </c>
    </row>
    <row r="3" customFormat="false" ht="15" hidden="false" customHeight="false" outlineLevel="0" collapsed="false">
      <c r="A3" s="32" t="s">
        <v>71</v>
      </c>
      <c r="B3" s="32" t="s">
        <v>72</v>
      </c>
      <c r="C3" s="32" t="s">
        <v>304</v>
      </c>
      <c r="D3" s="40" t="n">
        <v>2000</v>
      </c>
      <c r="E3" s="37" t="n">
        <v>993.79</v>
      </c>
      <c r="F3" s="37" t="n">
        <f aca="false">D3-E3</f>
        <v>1006.21</v>
      </c>
      <c r="G3" s="41" t="n">
        <f aca="false">E3/D3</f>
        <v>0.496895</v>
      </c>
    </row>
    <row r="4" customFormat="false" ht="15" hidden="false" customHeight="false" outlineLevel="0" collapsed="false">
      <c r="A4" s="29" t="s">
        <v>77</v>
      </c>
      <c r="B4" s="29" t="s">
        <v>78</v>
      </c>
      <c r="C4" s="29" t="s">
        <v>304</v>
      </c>
      <c r="D4" s="38" t="n">
        <v>3500</v>
      </c>
      <c r="E4" s="36" t="n">
        <v>1538.52</v>
      </c>
      <c r="F4" s="36" t="n">
        <f aca="false">D4-E4</f>
        <v>1961.48</v>
      </c>
      <c r="G4" s="39" t="n">
        <f aca="false">E4/D4</f>
        <v>0.439577142857143</v>
      </c>
    </row>
    <row r="5" customFormat="false" ht="15" hidden="false" customHeight="false" outlineLevel="0" collapsed="false">
      <c r="A5" s="32" t="s">
        <v>83</v>
      </c>
      <c r="B5" s="32" t="s">
        <v>84</v>
      </c>
      <c r="C5" s="32" t="s">
        <v>304</v>
      </c>
      <c r="D5" s="40" t="n">
        <v>1500</v>
      </c>
      <c r="E5" s="37" t="n">
        <v>1899.4</v>
      </c>
      <c r="F5" s="37" t="n">
        <f aca="false">D5-E5</f>
        <v>-399.4</v>
      </c>
      <c r="G5" s="41" t="n">
        <f aca="false">E5/D5</f>
        <v>1.26626666666667</v>
      </c>
    </row>
    <row r="6" customFormat="false" ht="15" hidden="false" customHeight="false" outlineLevel="0" collapsed="false">
      <c r="A6" s="29" t="s">
        <v>89</v>
      </c>
      <c r="B6" s="29" t="s">
        <v>90</v>
      </c>
      <c r="C6" s="29" t="s">
        <v>304</v>
      </c>
      <c r="D6" s="38" t="n">
        <v>3000</v>
      </c>
      <c r="E6" s="36" t="n">
        <v>1258.23</v>
      </c>
      <c r="F6" s="36" t="n">
        <f aca="false">D6-E6</f>
        <v>1741.77</v>
      </c>
      <c r="G6" s="39" t="n">
        <f aca="false">E6/D6</f>
        <v>0.41941</v>
      </c>
    </row>
    <row r="7" customFormat="false" ht="15" hidden="false" customHeight="false" outlineLevel="0" collapsed="false">
      <c r="A7" s="32" t="s">
        <v>95</v>
      </c>
      <c r="B7" s="32" t="s">
        <v>96</v>
      </c>
      <c r="C7" s="32" t="s">
        <v>304</v>
      </c>
      <c r="D7" s="40" t="n">
        <v>1500</v>
      </c>
      <c r="E7" s="37" t="n">
        <v>1263.26</v>
      </c>
      <c r="F7" s="37" t="n">
        <f aca="false">D7-E7</f>
        <v>236.74</v>
      </c>
      <c r="G7" s="41" t="n">
        <f aca="false">E7/D7</f>
        <v>0.842173333333333</v>
      </c>
    </row>
  </sheetData>
  <conditionalFormatting sqref="G2:G7">
    <cfRule type="colorScale" priority="2">
      <colorScale>
        <cfvo type="num" val="0"/>
        <cfvo type="num" val="1"/>
        <cfvo type="num" val="1.3"/>
        <color rgb="FFD6EBDD"/>
        <color rgb="FFFDE9C8"/>
        <color rgb="FFF6C6C4"/>
      </colorScale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3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16"/>
    <col collapsed="false" customWidth="true" hidden="false" outlineLevel="0" max="3" min="3" style="0" width="14"/>
    <col collapsed="false" customWidth="true" hidden="false" outlineLevel="0" max="4" min="4" style="0" width="16"/>
    <col collapsed="false" customWidth="true" hidden="false" outlineLevel="0" max="5" min="5" style="0" width="14"/>
    <col collapsed="false" customWidth="true" hidden="false" outlineLevel="0" max="6" min="6" style="0" width="4"/>
    <col collapsed="false" customWidth="true" hidden="false" outlineLevel="0" max="7" min="7" style="0" width="32"/>
    <col collapsed="false" customWidth="true" hidden="false" outlineLevel="0" max="8" min="8" style="0" width="6"/>
    <col collapsed="false" customWidth="true" hidden="false" outlineLevel="0" max="9" min="9" style="0" width="12"/>
  </cols>
  <sheetData>
    <row r="1" customFormat="false" ht="15" hidden="false" customHeight="false" outlineLevel="0" collapsed="false">
      <c r="A1" s="42" t="s">
        <v>305</v>
      </c>
    </row>
    <row r="3" customFormat="false" ht="15" hidden="false" customHeight="false" outlineLevel="0" collapsed="false">
      <c r="A3" s="43" t="s">
        <v>306</v>
      </c>
      <c r="D3" s="43" t="s">
        <v>307</v>
      </c>
      <c r="G3" s="43" t="s">
        <v>308</v>
      </c>
      <c r="I3" s="43" t="s">
        <v>309</v>
      </c>
    </row>
    <row r="4" customFormat="false" ht="15" hidden="false" customHeight="false" outlineLevel="0" collapsed="false">
      <c r="A4" s="6" t="s">
        <v>64</v>
      </c>
      <c r="B4" s="44" t="n">
        <f aca="false">COUNTIFS(Teams_Membership_Export!$K$2:$K$500,"ERG-01",Teams_Membership_Export!$A$2:$A$500,DATE(2026,7,1))</f>
        <v>2</v>
      </c>
      <c r="D4" s="6" t="s">
        <v>310</v>
      </c>
      <c r="E4" s="44" t="n">
        <f aca="false">SUMPRODUCT((COUNTIFS(Teams_Membership_Export!$J$2:$J$500,Employees!$A$2:$A$500,Teams_Membership_Export!$A$2:$A$500,DATE(2026,7,1))&gt;0)*(Employees!$H$2:$H$500="Active"))</f>
        <v>7</v>
      </c>
      <c r="G4" s="6" t="s">
        <v>64</v>
      </c>
      <c r="H4" s="44" t="n">
        <f aca="false">SUMIF(ERG_Budget!$B$2:$B$100,"Women's Network",ERG_Budget!$D$2:$D$100)</f>
        <v>2000</v>
      </c>
      <c r="I4" s="44" t="n">
        <f aca="false">SUMIF(ERG_Budget!$B$2:$B$100,"Women's Network",ERG_Budget!$E$2:$E$100)</f>
        <v>1506.51</v>
      </c>
    </row>
    <row r="5" customFormat="false" ht="15" hidden="false" customHeight="false" outlineLevel="0" collapsed="false">
      <c r="A5" s="6" t="s">
        <v>72</v>
      </c>
      <c r="B5" s="44" t="n">
        <f aca="false">COUNTIFS(Teams_Membership_Export!$K$2:$K$500,"ERG-02",Teams_Membership_Export!$A$2:$A$500,DATE(2026,7,1))</f>
        <v>0</v>
      </c>
      <c r="D5" s="6" t="s">
        <v>311</v>
      </c>
      <c r="E5" s="44" t="n">
        <f aca="false">COUNTIF(Employees!$H$2:$H$500,"Active")-E4</f>
        <v>13</v>
      </c>
      <c r="G5" s="6" t="s">
        <v>72</v>
      </c>
      <c r="H5" s="44" t="n">
        <f aca="false">SUMIF(ERG_Budget!$B$2:$B$100,"Pride Alliance",ERG_Budget!$D$2:$D$100)</f>
        <v>2000</v>
      </c>
      <c r="I5" s="44" t="n">
        <f aca="false">SUMIF(ERG_Budget!$B$2:$B$100,"Pride Alliance",ERG_Budget!$E$2:$E$100)</f>
        <v>993.79</v>
      </c>
    </row>
    <row r="6" customFormat="false" ht="15" hidden="false" customHeight="false" outlineLevel="0" collapsed="false">
      <c r="A6" s="6" t="s">
        <v>78</v>
      </c>
      <c r="B6" s="44" t="n">
        <f aca="false">COUNTIFS(Teams_Membership_Export!$K$2:$K$500,"ERG-03",Teams_Membership_Export!$A$2:$A$500,DATE(2026,7,1))</f>
        <v>1</v>
      </c>
      <c r="G6" s="6" t="s">
        <v>78</v>
      </c>
      <c r="H6" s="44" t="n">
        <f aca="false">SUMIF(ERG_Budget!$B$2:$B$100,"Black &amp; African Diaspora Network",ERG_Budget!$D$2:$D$100)</f>
        <v>3500</v>
      </c>
      <c r="I6" s="44" t="n">
        <f aca="false">SUMIF(ERG_Budget!$B$2:$B$100,"Black &amp; African Diaspora Network",ERG_Budget!$E$2:$E$100)</f>
        <v>1538.52</v>
      </c>
    </row>
    <row r="7" customFormat="false" ht="15" hidden="false" customHeight="false" outlineLevel="0" collapsed="false">
      <c r="A7" s="6" t="s">
        <v>84</v>
      </c>
      <c r="B7" s="44" t="n">
        <f aca="false">COUNTIFS(Teams_Membership_Export!$K$2:$K$500,"ERG-04",Teams_Membership_Export!$A$2:$A$500,DATE(2026,7,1))</f>
        <v>1</v>
      </c>
      <c r="G7" s="6" t="s">
        <v>84</v>
      </c>
      <c r="H7" s="44" t="n">
        <f aca="false">SUMIF(ERG_Budget!$B$2:$B$100,"Emerging Professionals Network",ERG_Budget!$D$2:$D$100)</f>
        <v>1500</v>
      </c>
      <c r="I7" s="44" t="n">
        <f aca="false">SUMIF(ERG_Budget!$B$2:$B$100,"Emerging Professionals Network",ERG_Budget!$E$2:$E$100)</f>
        <v>1899.4</v>
      </c>
    </row>
    <row r="8" customFormat="false" ht="15" hidden="false" customHeight="false" outlineLevel="0" collapsed="false">
      <c r="A8" s="6" t="s">
        <v>90</v>
      </c>
      <c r="B8" s="44" t="n">
        <f aca="false">COUNTIFS(Teams_Membership_Export!$K$2:$K$500,"ERG-05",Teams_Membership_Export!$A$2:$A$500,DATE(2026,7,1))</f>
        <v>1</v>
      </c>
      <c r="G8" s="6" t="s">
        <v>90</v>
      </c>
      <c r="H8" s="44" t="n">
        <f aca="false">SUMIF(ERG_Budget!$B$2:$B$100,"Accessibility &amp; Disability Inclusion Network",ERG_Budget!$D$2:$D$100)</f>
        <v>3000</v>
      </c>
      <c r="I8" s="44" t="n">
        <f aca="false">SUMIF(ERG_Budget!$B$2:$B$100,"Accessibility &amp; Disability Inclusion Network",ERG_Budget!$E$2:$E$100)</f>
        <v>1258.23</v>
      </c>
    </row>
    <row r="9" customFormat="false" ht="15" hidden="false" customHeight="false" outlineLevel="0" collapsed="false">
      <c r="A9" s="6" t="s">
        <v>96</v>
      </c>
      <c r="B9" s="44" t="n">
        <f aca="false">COUNTIFS(Teams_Membership_Export!$K$2:$K$500,"ERG-06",Teams_Membership_Export!$A$2:$A$500,DATE(2026,7,1))</f>
        <v>2</v>
      </c>
      <c r="G9" s="6" t="s">
        <v>96</v>
      </c>
      <c r="H9" s="44" t="n">
        <f aca="false">SUMIF(ERG_Budget!$B$2:$B$100,"Global &amp; Multicultural Network",ERG_Budget!$D$2:$D$100)</f>
        <v>1500</v>
      </c>
      <c r="I9" s="44" t="n">
        <f aca="false">SUMIF(ERG_Budget!$B$2:$B$100,"Global &amp; Multicultural Network",ERG_Budget!$E$2:$E$100)</f>
        <v>1263.26</v>
      </c>
    </row>
    <row r="12" customFormat="false" ht="15" hidden="false" customHeight="false" outlineLevel="0" collapsed="false">
      <c r="A12" s="43" t="s">
        <v>312</v>
      </c>
    </row>
    <row r="13" customFormat="false" ht="15" hidden="false" customHeight="false" outlineLevel="0" collapsed="false">
      <c r="A13" s="5" t="s">
        <v>313</v>
      </c>
      <c r="B13" s="5" t="s">
        <v>220</v>
      </c>
      <c r="C13" s="5" t="s">
        <v>218</v>
      </c>
    </row>
    <row r="14" customFormat="false" ht="15" hidden="false" customHeight="false" outlineLevel="0" collapsed="false">
      <c r="A14" s="6" t="s">
        <v>314</v>
      </c>
      <c r="B14" s="44" t="n">
        <f aca="false">COUNTIFS(ERG_Membership_Changes!$B$2:$B$500,$E14,ERG_Membership_Changes!$G$2:$G$500,"Joined")</f>
        <v>2</v>
      </c>
      <c r="C14" s="44" t="n">
        <f aca="false">COUNTIFS(ERG_Membership_Changes!$B$2:$B$500,$E14,ERG_Membership_Changes!$G$2:$G$500,"Left")</f>
        <v>3</v>
      </c>
      <c r="E14" s="45" t="n">
        <v>46082</v>
      </c>
    </row>
    <row r="15" customFormat="false" ht="15" hidden="false" customHeight="false" outlineLevel="0" collapsed="false">
      <c r="A15" s="6" t="s">
        <v>315</v>
      </c>
      <c r="B15" s="44" t="n">
        <f aca="false">COUNTIFS(ERG_Membership_Changes!$B$2:$B$500,$E15,ERG_Membership_Changes!$G$2:$G$500,"Joined")</f>
        <v>0</v>
      </c>
      <c r="C15" s="44" t="n">
        <f aca="false">COUNTIFS(ERG_Membership_Changes!$B$2:$B$500,$E15,ERG_Membership_Changes!$G$2:$G$500,"Left")</f>
        <v>2</v>
      </c>
      <c r="E15" s="45" t="n">
        <v>46113</v>
      </c>
    </row>
    <row r="16" customFormat="false" ht="15" hidden="false" customHeight="false" outlineLevel="0" collapsed="false">
      <c r="A16" s="6" t="s">
        <v>316</v>
      </c>
      <c r="B16" s="44" t="n">
        <f aca="false">COUNTIFS(ERG_Membership_Changes!$B$2:$B$500,$E16,ERG_Membership_Changes!$G$2:$G$500,"Joined")</f>
        <v>2</v>
      </c>
      <c r="C16" s="44" t="n">
        <f aca="false">COUNTIFS(ERG_Membership_Changes!$B$2:$B$500,$E16,ERG_Membership_Changes!$G$2:$G$500,"Left")</f>
        <v>4</v>
      </c>
      <c r="E16" s="45" t="n">
        <v>46143</v>
      </c>
    </row>
    <row r="17" customFormat="false" ht="15" hidden="false" customHeight="false" outlineLevel="0" collapsed="false">
      <c r="A17" s="6" t="s">
        <v>317</v>
      </c>
      <c r="B17" s="44" t="n">
        <f aca="false">COUNTIFS(ERG_Membership_Changes!$B$2:$B$500,$E17,ERG_Membership_Changes!$G$2:$G$500,"Joined")</f>
        <v>4</v>
      </c>
      <c r="C17" s="44" t="n">
        <f aca="false">COUNTIFS(ERG_Membership_Changes!$B$2:$B$500,$E17,ERG_Membership_Changes!$G$2:$G$500,"Left")</f>
        <v>1</v>
      </c>
      <c r="E17" s="45" t="n">
        <v>46174</v>
      </c>
    </row>
    <row r="18" customFormat="false" ht="15" hidden="false" customHeight="false" outlineLevel="0" collapsed="false">
      <c r="A18" s="6" t="s">
        <v>318</v>
      </c>
      <c r="B18" s="44" t="n">
        <f aca="false">COUNTIFS(ERG_Membership_Changes!$B$2:$B$500,$E18,ERG_Membership_Changes!$G$2:$G$500,"Joined")</f>
        <v>2</v>
      </c>
      <c r="C18" s="44" t="n">
        <f aca="false">COUNTIFS(ERG_Membership_Changes!$B$2:$B$500,$E18,ERG_Membership_Changes!$G$2:$G$500,"Left")</f>
        <v>4</v>
      </c>
      <c r="E18" s="45" t="n">
        <v>46204</v>
      </c>
    </row>
    <row r="25" customFormat="false" ht="15" hidden="false" customHeight="false" outlineLevel="0" collapsed="false">
      <c r="A25" s="43" t="s">
        <v>319</v>
      </c>
    </row>
    <row r="26" customFormat="false" ht="15" hidden="false" customHeight="false" outlineLevel="0" collapsed="false">
      <c r="A26" s="6" t="s">
        <v>296</v>
      </c>
      <c r="B26" s="44" t="n">
        <f aca="false">SUMPRODUCT((ERG_Events!$F$2:$F$100="Lunch &amp; Learn")*ERG_Events!$H$2:$H$100)</f>
        <v>17</v>
      </c>
    </row>
    <row r="27" customFormat="false" ht="15" hidden="false" customHeight="false" outlineLevel="0" collapsed="false">
      <c r="A27" s="6" t="s">
        <v>295</v>
      </c>
      <c r="B27" s="44" t="n">
        <f aca="false">SUMPRODUCT((ERG_Events!$F$2:$F$100="Panel Discussion")*ERG_Events!$H$2:$H$100)</f>
        <v>20</v>
      </c>
    </row>
    <row r="28" customFormat="false" ht="15" hidden="false" customHeight="false" outlineLevel="0" collapsed="false">
      <c r="A28" s="6" t="s">
        <v>297</v>
      </c>
      <c r="B28" s="44" t="n">
        <f aca="false">SUMPRODUCT((ERG_Events!$F$2:$F$100="Social Mixer")*ERG_Events!$H$2:$H$100)</f>
        <v>3</v>
      </c>
    </row>
    <row r="29" customFormat="false" ht="15" hidden="false" customHeight="false" outlineLevel="0" collapsed="false">
      <c r="A29" s="6" t="s">
        <v>294</v>
      </c>
      <c r="B29" s="44" t="n">
        <f aca="false">SUMPRODUCT((ERG_Events!$F$2:$F$100="Speaker Series")*ERG_Events!$H$2:$H$100)</f>
        <v>33</v>
      </c>
    </row>
    <row r="30" customFormat="false" ht="15" hidden="false" customHeight="false" outlineLevel="0" collapsed="false">
      <c r="A30" s="6" t="s">
        <v>298</v>
      </c>
      <c r="B30" s="44" t="n">
        <f aca="false">SUMPRODUCT((ERG_Events!$F$2:$F$100="Volunteer Day")*ERG_Events!$H$2:$H$100)</f>
        <v>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2026-09-08T16:40:25Z</dcterms:created>
  <dc:creator>openpyxl</dc:creator>
  <dc:description/>
  <dc:language>en-US</dc:language>
  <cp:lastModifiedBy/>
  <dcterms:modified xsi:type="dcterms:W3CDTF">2026-09-08T16:40:29Z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